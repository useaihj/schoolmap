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11640" yWindow="2820" windowWidth="29040" windowHeight="15720" tabRatio="600" firstSheet="0" activeTab="1" autoFilterDateGrouping="1"/>
  </bookViews>
  <sheets>
    <sheet name="개발사업현황" sheetId="1" state="visible" r:id="rId1"/>
    <sheet name="현행화" sheetId="2" state="visible" r:id="rId2"/>
  </sheets>
  <definedNames>
    <definedName name="남구">#REF!</definedName>
    <definedName name="울주군">#REF!</definedName>
    <definedName name="_xlnm.Print_Titles" localSheetId="0">'개발사업현황'!$1:$3</definedName>
    <definedName name="_xlnm.Print_Area" localSheetId="0">'개발사업현황'!$A$1:$T$131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.000"/>
    <numFmt numFmtId="166" formatCode="#,##0;[Red]#,##0"/>
    <numFmt numFmtId="167" formatCode="0.0000"/>
    <numFmt numFmtId="168" formatCode="0.0_ "/>
    <numFmt numFmtId="169" formatCode="#,##0_ "/>
  </numFmts>
  <fonts count="24">
    <font>
      <name val="돋움"/>
      <charset val="129"/>
      <family val="3"/>
      <sz val="11"/>
    </font>
    <font>
      <name val="돋움"/>
      <charset val="129"/>
      <family val="3"/>
      <sz val="11"/>
    </font>
    <font>
      <name val="굴림체"/>
      <charset val="129"/>
      <family val="3"/>
      <sz val="12"/>
    </font>
    <font>
      <name val="돋움"/>
      <charset val="129"/>
      <family val="3"/>
      <sz val="8"/>
    </font>
    <font>
      <name val="맑은 고딕"/>
      <charset val="129"/>
      <family val="3"/>
      <sz val="12"/>
      <scheme val="major"/>
    </font>
    <font>
      <name val="맑은 고딕"/>
      <charset val="129"/>
      <family val="3"/>
      <color indexed="8"/>
      <sz val="12"/>
      <scheme val="major"/>
    </font>
    <font>
      <name val="맑은 고딕"/>
      <charset val="129"/>
      <family val="3"/>
      <b val="1"/>
      <sz val="14"/>
      <scheme val="major"/>
    </font>
    <font>
      <name val="맑은 고딕"/>
      <charset val="129"/>
      <family val="3"/>
      <b val="1"/>
      <color rgb="FFFF0000"/>
      <sz val="14"/>
      <scheme val="major"/>
    </font>
    <font>
      <name val="굴림체"/>
      <charset val="129"/>
      <family val="3"/>
      <b val="1"/>
      <color rgb="FFFF0000"/>
      <sz val="14"/>
    </font>
    <font>
      <name val="굴림체"/>
      <charset val="129"/>
      <family val="3"/>
      <color theme="1"/>
      <sz val="12"/>
    </font>
    <font>
      <name val="맑은 고딕"/>
      <charset val="129"/>
      <family val="3"/>
      <color rgb="FF7030A0"/>
      <sz val="12"/>
      <scheme val="major"/>
    </font>
    <font>
      <name val="굴림체"/>
      <charset val="129"/>
      <family val="3"/>
      <color rgb="FF7030A0"/>
      <sz val="12"/>
    </font>
    <font>
      <name val="나눔스퀘어라운드 Regular"/>
      <charset val="129"/>
      <family val="3"/>
      <b val="1"/>
      <color rgb="FFFF0000"/>
      <sz val="14"/>
    </font>
    <font>
      <name val="나눔스퀘어라운드 Regular"/>
      <charset val="129"/>
      <family val="3"/>
      <b val="1"/>
      <color indexed="8"/>
      <sz val="24"/>
    </font>
    <font>
      <name val="나눔스퀘어라운드 Regular"/>
      <charset val="129"/>
      <family val="3"/>
      <b val="1"/>
      <sz val="12"/>
    </font>
    <font>
      <name val="나눔스퀘어라운드 Regular"/>
      <charset val="129"/>
      <family val="3"/>
      <color theme="1"/>
      <sz val="12"/>
    </font>
    <font>
      <name val="나눔스퀘어라운드 Regular"/>
      <charset val="129"/>
      <family val="3"/>
      <b val="1"/>
      <color indexed="8"/>
      <sz val="12"/>
    </font>
    <font>
      <name val="나눔스퀘어라운드 Regular"/>
      <charset val="129"/>
      <family val="3"/>
      <b val="1"/>
      <color rgb="FF7030A0"/>
      <sz val="12"/>
    </font>
    <font>
      <name val="나눔스퀘어라운드 Regular"/>
      <charset val="129"/>
      <family val="3"/>
      <sz val="12"/>
    </font>
    <font>
      <name val="나눔스퀘어라운드 Regular"/>
      <charset val="129"/>
      <family val="3"/>
      <color theme="1"/>
      <sz val="11"/>
    </font>
    <font>
      <name val="나눔스퀘어라운드 Regular"/>
      <charset val="129"/>
      <family val="3"/>
      <b val="1"/>
      <color rgb="FFFF0000"/>
      <sz val="12"/>
    </font>
    <font>
      <name val="나눔스퀘어라운드 Regular"/>
      <charset val="129"/>
      <family val="3"/>
      <color rgb="FFFF0000"/>
      <sz val="12"/>
    </font>
    <font>
      <name val="나눔스퀘어라운드 Regular"/>
      <charset val="129"/>
      <family val="3"/>
      <color rgb="FF7030A0"/>
      <sz val="12"/>
    </font>
    <font>
      <name val="돋움"/>
      <charset val="129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1" fillId="0" borderId="0" applyAlignment="1">
      <alignment vertical="center"/>
    </xf>
    <xf numFmtId="164" fontId="1" fillId="0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shrinkToFit="1"/>
    </xf>
    <xf numFmtId="0" fontId="8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4" fillId="0" borderId="0" pivotButton="0" quotePrefix="0" xfId="0"/>
    <xf numFmtId="0" fontId="15" fillId="0" borderId="1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horizontal="left" vertical="center" wrapText="1" shrinkToFit="1"/>
    </xf>
    <xf numFmtId="0" fontId="12" fillId="4" borderId="2" applyAlignment="1" pivotButton="0" quotePrefix="0" xfId="0">
      <alignment horizontal="center" vertical="center" shrinkToFit="1"/>
    </xf>
    <xf numFmtId="0" fontId="16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 shrinkToFit="1"/>
    </xf>
    <xf numFmtId="0" fontId="17" fillId="0" borderId="1" applyAlignment="1" pivotButton="0" quotePrefix="0" xfId="0">
      <alignment horizontal="center" vertical="center" wrapText="1" shrinkToFit="1"/>
    </xf>
    <xf numFmtId="164" fontId="15" fillId="0" borderId="1" applyAlignment="1" pivotButton="0" quotePrefix="0" xfId="1">
      <alignment horizontal="center" vertical="center" wrapText="1" shrinkToFit="1"/>
    </xf>
    <xf numFmtId="164" fontId="18" fillId="0" borderId="1" applyAlignment="1" pivotButton="0" quotePrefix="0" xfId="1">
      <alignment horizontal="center" vertical="center" wrapText="1" shrinkToFit="1"/>
    </xf>
    <xf numFmtId="0" fontId="18" fillId="0" borderId="1" applyAlignment="1" pivotButton="0" quotePrefix="0" xfId="0">
      <alignment vertical="center" wrapText="1" shrinkToFit="1"/>
    </xf>
    <xf numFmtId="0" fontId="18" fillId="0" borderId="1" applyAlignment="1" pivotButton="0" quotePrefix="0" xfId="0">
      <alignment horizontal="center" vertical="center" wrapText="1" shrinkToFit="1"/>
    </xf>
    <xf numFmtId="3" fontId="15" fillId="0" borderId="1" applyAlignment="1" pivotButton="0" quotePrefix="0" xfId="1">
      <alignment horizontal="center" vertical="center" wrapText="1" shrinkToFit="1"/>
    </xf>
    <xf numFmtId="0" fontId="15" fillId="0" borderId="1" applyAlignment="1" pivotButton="0" quotePrefix="0" xfId="0">
      <alignment vertical="center" wrapText="1" shrinkToFit="1"/>
    </xf>
    <xf numFmtId="49" fontId="15" fillId="0" borderId="1" applyAlignment="1" pivotButton="0" quotePrefix="0" xfId="0">
      <alignment horizontal="center" vertical="center" wrapText="1" shrinkToFit="1"/>
    </xf>
    <xf numFmtId="3" fontId="15" fillId="0" borderId="1" applyAlignment="1" pivotButton="0" quotePrefix="0" xfId="0">
      <alignment horizontal="center" vertical="center" wrapText="1" shrinkToFit="1"/>
    </xf>
    <xf numFmtId="0" fontId="15" fillId="0" borderId="1" applyAlignment="1" pivotButton="0" quotePrefix="0" xfId="0">
      <alignment horizontal="left" vertical="center" shrinkToFit="1"/>
    </xf>
    <xf numFmtId="165" fontId="15" fillId="0" borderId="1" applyAlignment="1" pivotButton="0" quotePrefix="0" xfId="0">
      <alignment horizontal="center" vertical="center" wrapText="1" shrinkToFit="1"/>
    </xf>
    <xf numFmtId="2" fontId="15" fillId="0" borderId="1" applyAlignment="1" pivotButton="0" quotePrefix="0" xfId="0">
      <alignment horizontal="center" vertical="center" wrapText="1" shrinkToFit="1"/>
    </xf>
    <xf numFmtId="0" fontId="21" fillId="0" borderId="1" applyAlignment="1" pivotButton="0" quotePrefix="0" xfId="0">
      <alignment horizontal="center" vertical="center" wrapText="1" shrinkToFit="1"/>
    </xf>
    <xf numFmtId="0" fontId="21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3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 wrapText="1" shrinkToFit="1"/>
    </xf>
    <xf numFmtId="0" fontId="12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0">
      <alignment horizontal="center" vertical="center"/>
    </xf>
    <xf numFmtId="164" fontId="15" fillId="3" borderId="1" applyAlignment="1" pivotButton="0" quotePrefix="0" xfId="1">
      <alignment horizontal="center" vertical="center" wrapText="1" shrinkToFit="1"/>
    </xf>
    <xf numFmtId="0" fontId="18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 shrinkToFit="1"/>
    </xf>
    <xf numFmtId="0" fontId="18" fillId="2" borderId="1" applyAlignment="1" pivotButton="0" quotePrefix="0" xfId="0">
      <alignment horizontal="center" vertical="center" wrapText="1" shrinkToFit="1"/>
    </xf>
    <xf numFmtId="0" fontId="15" fillId="2" borderId="1" applyAlignment="1" pivotButton="0" quotePrefix="0" xfId="0">
      <alignment horizontal="center" vertical="center" shrinkToFit="1"/>
    </xf>
    <xf numFmtId="0" fontId="15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 shrinkToFit="1"/>
    </xf>
    <xf numFmtId="0" fontId="18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 shrinkToFit="1"/>
    </xf>
    <xf numFmtId="0" fontId="15" fillId="5" borderId="1" applyAlignment="1" pivotButton="0" quotePrefix="0" xfId="0">
      <alignment horizontal="center" vertical="center" wrapText="1" shrinkToFit="1"/>
    </xf>
    <xf numFmtId="0" fontId="18" fillId="5" borderId="1" applyAlignment="1" pivotButton="0" quotePrefix="0" xfId="0">
      <alignment horizontal="center" vertical="center" wrapText="1" shrinkToFit="1"/>
    </xf>
    <xf numFmtId="0" fontId="19" fillId="0" borderId="1" applyAlignment="1" pivotButton="0" quotePrefix="0" xfId="0">
      <alignment horizontal="center" vertical="center" shrinkToFit="1"/>
    </xf>
    <xf numFmtId="0" fontId="19" fillId="0" borderId="1" applyAlignment="1" pivotButton="0" quotePrefix="0" xfId="0">
      <alignment vertical="center" shrinkToFit="1"/>
    </xf>
    <xf numFmtId="0" fontId="19" fillId="0" borderId="3" applyAlignment="1" pivotButton="0" quotePrefix="0" xfId="0">
      <alignment horizontal="center" vertical="center" shrinkToFit="1"/>
    </xf>
    <xf numFmtId="0" fontId="19" fillId="0" borderId="3" applyAlignment="1" pivotButton="0" quotePrefix="0" xfId="0">
      <alignment vertical="center" shrinkToFit="1"/>
    </xf>
    <xf numFmtId="0" fontId="19" fillId="0" borderId="4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vertical="center" shrinkToFit="1"/>
    </xf>
    <xf numFmtId="0" fontId="19" fillId="3" borderId="1" applyAlignment="1" pivotButton="0" quotePrefix="0" xfId="0">
      <alignment horizontal="center" vertical="center" shrinkToFit="1"/>
    </xf>
    <xf numFmtId="0" fontId="21" fillId="5" borderId="1" applyAlignment="1" pivotButton="0" quotePrefix="0" xfId="0">
      <alignment horizontal="center" vertical="center" wrapText="1" shrinkToFit="1"/>
    </xf>
    <xf numFmtId="0" fontId="20" fillId="5" borderId="1" applyAlignment="1" pivotButton="0" quotePrefix="0" xfId="0">
      <alignment horizontal="center" vertical="center" wrapText="1" shrinkToFit="1"/>
    </xf>
    <xf numFmtId="0" fontId="20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2" fontId="15" fillId="5" borderId="1" applyAlignment="1" pivotButton="0" quotePrefix="0" xfId="0">
      <alignment horizontal="center" vertical="center" wrapText="1" shrinkToFit="1"/>
    </xf>
    <xf numFmtId="1" fontId="15" fillId="5" borderId="1" applyAlignment="1" pivotButton="0" quotePrefix="0" xfId="0">
      <alignment horizontal="center" vertical="center" wrapText="1" shrinkToFit="1"/>
    </xf>
    <xf numFmtId="0" fontId="18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 shrinkToFit="1"/>
    </xf>
    <xf numFmtId="0" fontId="18" fillId="3" borderId="1" applyAlignment="1" pivotButton="0" quotePrefix="0" xfId="0">
      <alignment vertical="center"/>
    </xf>
    <xf numFmtId="164" fontId="18" fillId="3" borderId="1" applyAlignment="1" pivotButton="0" quotePrefix="0" xfId="1">
      <alignment horizontal="center" vertical="center" wrapText="1" shrinkToFit="1"/>
    </xf>
    <xf numFmtId="0" fontId="17" fillId="3" borderId="1" applyAlignment="1" pivotButton="0" quotePrefix="0" xfId="0">
      <alignment horizontal="center" vertical="center" wrapText="1" shrinkToFit="1"/>
    </xf>
    <xf numFmtId="0" fontId="20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 wrapText="1" shrinkToFit="1"/>
    </xf>
    <xf numFmtId="0" fontId="20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shrinkToFit="1"/>
    </xf>
    <xf numFmtId="0" fontId="19" fillId="2" borderId="1" applyAlignment="1" pivotButton="0" quotePrefix="0" xfId="0">
      <alignment horizontal="center" vertical="center" wrapText="1" shrinkToFit="1"/>
    </xf>
    <xf numFmtId="168" fontId="15" fillId="5" borderId="1" applyAlignment="1" pivotButton="0" quotePrefix="0" xfId="0">
      <alignment horizontal="center" vertical="center" wrapText="1" shrinkToFit="1"/>
    </xf>
    <xf numFmtId="0" fontId="6" fillId="0" borderId="0" applyAlignment="1" pivotButton="0" quotePrefix="0" xfId="0">
      <alignment horizontal="right" vertical="center"/>
    </xf>
    <xf numFmtId="169" fontId="15" fillId="0" borderId="1" applyAlignment="1" pivotButton="0" quotePrefix="0" xfId="1">
      <alignment horizontal="center" vertical="center" wrapText="1" shrinkToFit="1"/>
    </xf>
    <xf numFmtId="0" fontId="23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0" fillId="0" borderId="0" pivotButton="0" quotePrefix="0" xfId="0"/>
    <xf numFmtId="164" fontId="15" fillId="0" borderId="1" applyAlignment="1" pivotButton="0" quotePrefix="0" xfId="1">
      <alignment horizontal="center" vertical="center" wrapText="1" shrinkToFit="1"/>
    </xf>
    <xf numFmtId="169" fontId="15" fillId="0" borderId="1" applyAlignment="1" pivotButton="0" quotePrefix="0" xfId="1">
      <alignment horizontal="center" vertical="center" wrapText="1" shrinkToFit="1"/>
    </xf>
    <xf numFmtId="166" fontId="18" fillId="0" borderId="1" applyAlignment="1" pivotButton="0" quotePrefix="0" xfId="0">
      <alignment horizontal="center" vertical="center"/>
    </xf>
    <xf numFmtId="164" fontId="18" fillId="0" borderId="1" applyAlignment="1" pivotButton="0" quotePrefix="0" xfId="1">
      <alignment horizontal="center" vertical="center" wrapText="1" shrinkToFit="1"/>
    </xf>
    <xf numFmtId="166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 wrapText="1" shrinkToFit="1"/>
    </xf>
    <xf numFmtId="168" fontId="15" fillId="5" borderId="1" applyAlignment="1" pivotButton="0" quotePrefix="0" xfId="0">
      <alignment horizontal="center" vertical="center" wrapText="1" shrinkToFit="1"/>
    </xf>
    <xf numFmtId="167" fontId="15" fillId="0" borderId="1" applyAlignment="1" pivotButton="0" quotePrefix="0" xfId="0">
      <alignment horizontal="center" vertical="center" wrapText="1" shrinkToFit="1"/>
    </xf>
    <xf numFmtId="164" fontId="15" fillId="3" borderId="1" applyAlignment="1" pivotButton="0" quotePrefix="0" xfId="1">
      <alignment horizontal="center" vertical="center" wrapText="1" shrinkToFit="1"/>
    </xf>
    <xf numFmtId="164" fontId="18" fillId="3" borderId="1" applyAlignment="1" pivotButton="0" quotePrefix="0" xfId="1">
      <alignment horizontal="center" vertical="center" wrapText="1" shrinkToFi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H41" authorId="0" shapeId="0">
      <text>
        <t xml:space="preserve">(24.11.5. 확인)
</t>
      </text>
    </comment>
    <comment ref="H42" authorId="0" shapeId="0">
      <text>
        <t xml:space="preserve">(24.11.5. 확인)
</t>
      </text>
    </comment>
    <comment ref="H43" authorId="0" shapeId="0">
      <text>
        <t xml:space="preserve">(24.11.5. 확인)
</t>
      </text>
    </comment>
    <comment ref="D49" authorId="0" shapeId="0">
      <text>
        <t>- 830-1, 829-20 10월중 변경 승인 재접수
- 협의 시 증축 관련 협의
- 학교용지 부담금 42억 예정(7억 기준)
- 분양은 2023년 3~4월 예정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H41" authorId="0" shapeId="0">
      <text>
        <t xml:space="preserve">(24.11.5. 확인)
</t>
      </text>
    </comment>
    <comment ref="H42" authorId="0" shapeId="0">
      <text>
        <t xml:space="preserve">(24.11.5. 확인)
</t>
      </text>
    </comment>
    <comment ref="H43" authorId="0" shapeId="0">
      <text>
        <t xml:space="preserve">(24.11.5. 확인)
</t>
      </text>
    </comment>
    <comment ref="D49" authorId="0" shapeId="0">
      <text>
        <t>- 830-1, 829-20 10월중 변경 승인 재접수
- 협의 시 증축 관련 협의
- 학교용지 부담금 42억 예정(7억 기준)
- 분양은 2023년 3~4월 예정</t>
      </text>
    </comment>
  </commentList>
</comment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32"/>
  <sheetViews>
    <sheetView view="pageBreakPreview" zoomScale="85" zoomScaleNormal="70" zoomScaleSheetLayoutView="85" workbookViewId="0">
      <pane xSplit="4" ySplit="3" topLeftCell="E120" activePane="bottomRight" state="frozen"/>
      <selection pane="topRight" activeCell="E1" sqref="E1"/>
      <selection pane="bottomLeft" activeCell="A4" sqref="A4"/>
      <selection pane="bottomRight" activeCell="U4" sqref="U4:V131"/>
    </sheetView>
  </sheetViews>
  <sheetFormatPr baseColWidth="10" defaultColWidth="10" defaultRowHeight="17"/>
  <cols>
    <col hidden="1" width="11" customWidth="1" style="9" min="1" max="2"/>
    <col width="7.6640625" customWidth="1" style="9" min="3" max="3"/>
    <col width="30.83203125" customWidth="1" style="2" min="4" max="4"/>
    <col width="9.1640625" customWidth="1" style="2" min="5" max="5"/>
    <col width="28.1640625" customWidth="1" style="1" min="6" max="6"/>
    <col width="7.5" customWidth="1" style="2" min="7" max="7"/>
    <col width="13" bestFit="1" customWidth="1" style="2" min="8" max="8"/>
    <col width="9.1640625" customWidth="1" style="12" min="9" max="9"/>
    <col width="9" customWidth="1" style="12" min="10" max="10"/>
    <col width="8.6640625" customWidth="1" style="2" min="11" max="11"/>
    <col hidden="1" width="11.83203125" customWidth="1" style="2" min="12" max="12"/>
    <col width="8" customWidth="1" style="2" min="13" max="19"/>
    <col width="28" customWidth="1" style="2" min="20" max="20"/>
    <col width="10" customWidth="1" style="1" min="21" max="21"/>
    <col width="10" customWidth="1" style="1" min="22" max="16384"/>
  </cols>
  <sheetData>
    <row r="1" ht="35.25" customFormat="1" customHeight="1" s="94">
      <c r="A1" s="13" t="n"/>
      <c r="B1" s="13" t="n"/>
      <c r="C1" s="93" t="inlineStr">
        <is>
          <t>공동주택 및 개발사업 현황</t>
        </is>
      </c>
    </row>
    <row r="2" ht="24" customFormat="1" customHeight="1" s="4" thickBot="1">
      <c r="A2" s="8" t="n"/>
      <c r="B2" s="8" t="n"/>
      <c r="C2" s="8" t="n"/>
      <c r="D2" s="5" t="n"/>
      <c r="E2" s="5" t="n"/>
      <c r="F2" s="6" t="n"/>
      <c r="G2" s="7" t="n"/>
      <c r="H2" s="7" t="n"/>
      <c r="I2" s="11" t="n"/>
      <c r="J2" s="11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90" t="inlineStr">
        <is>
          <t>2025.7.18. 기준</t>
        </is>
      </c>
    </row>
    <row r="3" ht="31.5" customHeight="1" s="95">
      <c r="A3" s="17" t="inlineStr">
        <is>
          <t>안전성평가대상</t>
        </is>
      </c>
      <c r="B3" s="17" t="inlineStr">
        <is>
          <t>교육환경평가대상</t>
        </is>
      </c>
      <c r="C3" s="17" t="inlineStr">
        <is>
          <t>착공여부</t>
        </is>
      </c>
      <c r="D3" s="18" t="inlineStr">
        <is>
          <t>사 업 명
(시행사)</t>
        </is>
      </c>
      <c r="E3" s="18" t="inlineStr">
        <is>
          <t>행정구역</t>
        </is>
      </c>
      <c r="F3" s="18" t="inlineStr">
        <is>
          <t>위 치</t>
        </is>
      </c>
      <c r="G3" s="18" t="inlineStr">
        <is>
          <t>세대수</t>
        </is>
      </c>
      <c r="H3" s="18" t="inlineStr">
        <is>
          <t>사업기간</t>
        </is>
      </c>
      <c r="I3" s="19" t="inlineStr">
        <is>
          <t>반영시기(1차)</t>
        </is>
      </c>
      <c r="J3" s="19" t="inlineStr">
        <is>
          <t>반영시기(2차)</t>
        </is>
      </c>
      <c r="K3" s="18" t="inlineStr">
        <is>
          <t>발생율</t>
        </is>
      </c>
      <c r="L3" s="18" t="inlineStr">
        <is>
          <t>유</t>
        </is>
      </c>
      <c r="M3" s="18" t="inlineStr">
        <is>
          <t>초등학생</t>
        </is>
      </c>
      <c r="N3" s="18" t="inlineStr">
        <is>
          <t>1학년</t>
        </is>
      </c>
      <c r="O3" s="18" t="inlineStr">
        <is>
          <t>2학년</t>
        </is>
      </c>
      <c r="P3" s="18" t="inlineStr">
        <is>
          <t>3학년</t>
        </is>
      </c>
      <c r="Q3" s="18" t="inlineStr">
        <is>
          <t>4학년</t>
        </is>
      </c>
      <c r="R3" s="18" t="inlineStr">
        <is>
          <t>5학년</t>
        </is>
      </c>
      <c r="S3" s="18" t="inlineStr">
        <is>
          <t>6학년</t>
        </is>
      </c>
      <c r="T3" s="18" t="inlineStr">
        <is>
          <t>초등학교</t>
        </is>
      </c>
      <c r="U3" s="92" t="inlineStr">
        <is>
          <t>위도(lat)</t>
        </is>
      </c>
      <c r="V3" s="92" t="inlineStr">
        <is>
          <t>경도(lng)</t>
        </is>
      </c>
    </row>
    <row r="4" ht="40" customHeight="1" s="95">
      <c r="A4" s="60" t="n"/>
      <c r="B4" s="60" t="n"/>
      <c r="C4" s="60" t="inlineStr">
        <is>
          <t>미착공</t>
        </is>
      </c>
      <c r="D4" s="52" t="inlineStr">
        <is>
          <t>달동 더리브 주상복합</t>
        </is>
      </c>
      <c r="E4" s="35" t="inlineStr">
        <is>
          <t>남구</t>
        </is>
      </c>
      <c r="F4" s="38" t="inlineStr">
        <is>
          <t>남구 달동 1247-3 일원</t>
        </is>
      </c>
      <c r="G4" s="37" t="n">
        <v>237</v>
      </c>
      <c r="H4" s="54" t="inlineStr">
        <is>
          <t>2026.이후</t>
        </is>
      </c>
      <c r="I4" s="55" t="inlineStr">
        <is>
          <t>지연예정</t>
        </is>
      </c>
      <c r="J4" s="55" t="n">
        <v>2028</v>
      </c>
      <c r="K4" s="37" t="n">
        <v>0.1</v>
      </c>
      <c r="L4" s="96">
        <f>ROUNDDOWN(M4*25%,0)</f>
        <v/>
      </c>
      <c r="M4" s="96">
        <f>ROUNDDOWN(G4*K4,0)</f>
        <v/>
      </c>
      <c r="N4" s="97">
        <f>ROUND($G4*$K4/6,0)</f>
        <v/>
      </c>
      <c r="O4" s="97">
        <f>ROUND($G4*$K4/6,0)</f>
        <v/>
      </c>
      <c r="P4" s="97">
        <f>ROUND($G4*$K4/6,0)</f>
        <v/>
      </c>
      <c r="Q4" s="97">
        <f>ROUND($G4*$K4/6,0)</f>
        <v/>
      </c>
      <c r="R4" s="97">
        <f>ROUND($G4*$K4/6*50%,0)</f>
        <v/>
      </c>
      <c r="S4" s="97">
        <f>ROUND($G4*$K4/6*30%,0)</f>
        <v/>
      </c>
      <c r="T4" s="37" t="inlineStr">
        <is>
          <t>동평초 배치 가능</t>
        </is>
      </c>
      <c r="U4" s="0" t="n">
        <v>35.5372842</v>
      </c>
      <c r="V4" s="0" t="n">
        <v>129.3289669</v>
      </c>
    </row>
    <row r="5" ht="40" customHeight="1" s="95">
      <c r="A5" s="60" t="n"/>
      <c r="B5" s="60" t="n"/>
      <c r="C5" s="60" t="inlineStr">
        <is>
          <t>미착공</t>
        </is>
      </c>
      <c r="D5" s="48" t="inlineStr">
        <is>
          <t>달동 1325-1 일원 주상복합</t>
        </is>
      </c>
      <c r="E5" s="37" t="inlineStr">
        <is>
          <t>남구</t>
        </is>
      </c>
      <c r="F5" s="38" t="inlineStr">
        <is>
          <t>남구 달동 1325-1 일원</t>
        </is>
      </c>
      <c r="G5" s="98" t="n">
        <v>187</v>
      </c>
      <c r="H5" s="56" t="inlineStr">
        <is>
          <t>2023.12.~
2026.이후</t>
        </is>
      </c>
      <c r="I5" s="55" t="inlineStr">
        <is>
          <t>지연예정</t>
        </is>
      </c>
      <c r="J5" s="55" t="n">
        <v>2028</v>
      </c>
      <c r="K5" s="37" t="n">
        <v>0.15</v>
      </c>
      <c r="L5" s="96">
        <f>ROUNDDOWN(M5*25%,0)</f>
        <v/>
      </c>
      <c r="M5" s="99">
        <f>ROUNDDOWN(G5*K5,0)</f>
        <v/>
      </c>
      <c r="N5" s="97">
        <f>ROUND($G5*$K5/6,0)</f>
        <v/>
      </c>
      <c r="O5" s="97">
        <f>ROUND($G5*$K5/6,0)</f>
        <v/>
      </c>
      <c r="P5" s="97">
        <f>ROUND($G5*$K5/6,0)</f>
        <v/>
      </c>
      <c r="Q5" s="97">
        <f>ROUND($G5*$K5/6,0)</f>
        <v/>
      </c>
      <c r="R5" s="97">
        <f>ROUND($G5*$K5/6*50%,0)</f>
        <v/>
      </c>
      <c r="S5" s="97">
        <f>ROUND($G5*$K5/6*30%,0)</f>
        <v/>
      </c>
      <c r="T5" s="37" t="inlineStr">
        <is>
          <t>삼신초 배치 가능</t>
        </is>
      </c>
      <c r="U5" s="0" t="n">
        <v>35.5415062</v>
      </c>
      <c r="V5" s="0" t="n">
        <v>129.3267396</v>
      </c>
    </row>
    <row r="6" ht="40" customHeight="1" s="95">
      <c r="A6" s="60" t="n"/>
      <c r="B6" s="60" t="n"/>
      <c r="C6" s="60" t="inlineStr">
        <is>
          <t>미착공</t>
        </is>
      </c>
      <c r="D6" s="86" t="inlineStr">
        <is>
          <t>달동 위드 주상복합
(동원개발)</t>
        </is>
      </c>
      <c r="E6" s="35" t="inlineStr">
        <is>
          <t>남구</t>
        </is>
      </c>
      <c r="F6" s="38" t="inlineStr">
        <is>
          <t>남구 달동 1358-1 일원</t>
        </is>
      </c>
      <c r="G6" s="26" t="n">
        <v>236</v>
      </c>
      <c r="H6" s="56" t="inlineStr">
        <is>
          <t>2023.~
2026.이후</t>
        </is>
      </c>
      <c r="I6" s="55" t="inlineStr">
        <is>
          <t>지연예정</t>
        </is>
      </c>
      <c r="J6" s="55" t="n">
        <v>2028</v>
      </c>
      <c r="K6" s="37" t="n">
        <v>0.15</v>
      </c>
      <c r="L6" s="96">
        <f>ROUNDDOWN(M6*25%,0)</f>
        <v/>
      </c>
      <c r="M6" s="99">
        <f>ROUNDDOWN(G6*K6,0)</f>
        <v/>
      </c>
      <c r="N6" s="97">
        <f>ROUND($G6*$K6/6,0)</f>
        <v/>
      </c>
      <c r="O6" s="97">
        <f>ROUND($G6*$K6/6,0)</f>
        <v/>
      </c>
      <c r="P6" s="97">
        <f>ROUND($G6*$K6/6,0)</f>
        <v/>
      </c>
      <c r="Q6" s="97">
        <f>ROUND($G6*$K6/6,0)</f>
        <v/>
      </c>
      <c r="R6" s="97">
        <f>ROUND($G6*$K6/6*50%,0)</f>
        <v/>
      </c>
      <c r="S6" s="97">
        <f>ROUND($G6*$K6/6*30%,0)</f>
        <v/>
      </c>
      <c r="T6" s="37" t="inlineStr">
        <is>
          <t>삼신초 배치 가능</t>
        </is>
      </c>
      <c r="U6" s="0" t="n">
        <v>35.5385622</v>
      </c>
      <c r="V6" s="0" t="n">
        <v>129.3279767</v>
      </c>
    </row>
    <row r="7" ht="40" customHeight="1" s="95">
      <c r="A7" s="60" t="n"/>
      <c r="B7" s="60" t="inlineStr">
        <is>
          <t>대상</t>
        </is>
      </c>
      <c r="C7" s="60" t="inlineStr">
        <is>
          <t>미착공</t>
        </is>
      </c>
      <c r="D7" s="51" t="inlineStr">
        <is>
          <t>(가칭)무거삼호지구 도시개발사업 택지조성</t>
        </is>
      </c>
      <c r="E7" s="20" t="inlineStr">
        <is>
          <t>남구</t>
        </is>
      </c>
      <c r="F7" s="16" t="inlineStr">
        <is>
          <t>남구 무거동 1347번지 일원</t>
        </is>
      </c>
      <c r="G7" s="29" t="n">
        <v>1251</v>
      </c>
      <c r="H7" s="20" t="n">
        <v>2028</v>
      </c>
      <c r="I7" s="21" t="n">
        <v>2028</v>
      </c>
      <c r="J7" s="21" t="n"/>
      <c r="K7" s="20" t="n">
        <v>0.13</v>
      </c>
      <c r="L7" s="96">
        <f>ROUNDDOWN(M7*25%,0)</f>
        <v/>
      </c>
      <c r="M7" s="96">
        <f>ROUNDDOWN(G7*K7,0)</f>
        <v/>
      </c>
      <c r="N7" s="97">
        <f>ROUND($G7*$K7/6,0)</f>
        <v/>
      </c>
      <c r="O7" s="97">
        <f>ROUND($G7*$K7/6,0)</f>
        <v/>
      </c>
      <c r="P7" s="97">
        <f>ROUND($G7*$K7/6,0)</f>
        <v/>
      </c>
      <c r="Q7" s="97">
        <f>ROUND($G7*$K7/6,0)</f>
        <v/>
      </c>
      <c r="R7" s="97">
        <f>ROUND($G7*$K7/6*50%,0)</f>
        <v/>
      </c>
      <c r="S7" s="97">
        <f>ROUND($G7*$K7/6*30%,0)</f>
        <v/>
      </c>
      <c r="T7" s="20" t="inlineStr">
        <is>
          <t>옥현초 배치 가능</t>
        </is>
      </c>
      <c r="U7" s="0" t="n">
        <v>35.5482361</v>
      </c>
      <c r="V7" s="0" t="n">
        <v>129.2749469</v>
      </c>
    </row>
    <row r="8" ht="38" customHeight="1" s="95">
      <c r="A8" s="60" t="inlineStr">
        <is>
          <t>삼호중 6m</t>
        </is>
      </c>
      <c r="B8" s="60" t="inlineStr">
        <is>
          <t>완료</t>
        </is>
      </c>
      <c r="C8" s="60" t="inlineStr">
        <is>
          <t>2024.6.13.</t>
        </is>
      </c>
      <c r="D8" s="51" t="inlineStr">
        <is>
          <t>남구 무거동 1422 공동주택(한화포레나)</t>
        </is>
      </c>
      <c r="E8" s="20" t="inlineStr">
        <is>
          <t>남구</t>
        </is>
      </c>
      <c r="F8" s="16" t="inlineStr">
        <is>
          <t>남구 무거동 1422 일원</t>
        </is>
      </c>
      <c r="G8" s="26" t="n">
        <v>816</v>
      </c>
      <c r="H8" s="58" t="inlineStr">
        <is>
          <t>2024.6.13.~
2028.9.3.</t>
        </is>
      </c>
      <c r="I8" s="57" t="n">
        <v>2028</v>
      </c>
      <c r="J8" s="57" t="n"/>
      <c r="K8" s="20" t="n">
        <v>0.18</v>
      </c>
      <c r="L8" s="96">
        <f>ROUNDDOWN(M8*25%,0)</f>
        <v/>
      </c>
      <c r="M8" s="99">
        <f>ROUNDDOWN(G8*K8,0)</f>
        <v/>
      </c>
      <c r="N8" s="97">
        <f>ROUND($G8*$K8/6,0)</f>
        <v/>
      </c>
      <c r="O8" s="97">
        <f>ROUND($G8*$K8/6,0)</f>
        <v/>
      </c>
      <c r="P8" s="97">
        <f>ROUND($G8*$K8/6,0)</f>
        <v/>
      </c>
      <c r="Q8" s="97">
        <f>ROUND($G8*$K8/6,0)</f>
        <v/>
      </c>
      <c r="R8" s="97">
        <f>ROUND($G8*$K8/6*50%,0)</f>
        <v/>
      </c>
      <c r="S8" s="97">
        <f>ROUND($G8*$K8/6*30%,0)</f>
        <v/>
      </c>
      <c r="T8" s="20" t="inlineStr">
        <is>
          <t>삼호초 배치 가능</t>
        </is>
      </c>
      <c r="U8" s="0" t="n">
        <v>35.5460451</v>
      </c>
      <c r="V8" s="0" t="n">
        <v>129.2672709</v>
      </c>
    </row>
    <row r="9" ht="40" customHeight="1" s="95">
      <c r="A9" s="60" t="n"/>
      <c r="B9" s="60" t="n"/>
      <c r="C9" s="60" t="inlineStr">
        <is>
          <t>공사중지</t>
        </is>
      </c>
      <c r="D9" s="50" t="inlineStr">
        <is>
          <t>무거동 이즈 주상복합</t>
        </is>
      </c>
      <c r="E9" s="20" t="inlineStr">
        <is>
          <t>남구</t>
        </is>
      </c>
      <c r="F9" s="24" t="inlineStr">
        <is>
          <t>남구 무거동 1523-4 일원</t>
        </is>
      </c>
      <c r="G9" s="25" t="n">
        <v>154</v>
      </c>
      <c r="H9" s="59" t="inlineStr">
        <is>
          <t>2022.6.~
2025.이후</t>
        </is>
      </c>
      <c r="I9" s="55" t="inlineStr">
        <is>
          <t>지연예정</t>
        </is>
      </c>
      <c r="J9" s="55" t="n">
        <v>2028</v>
      </c>
      <c r="K9" s="25" t="n">
        <v>0.11</v>
      </c>
      <c r="L9" s="96">
        <f>ROUNDDOWN(M9*25%,0)</f>
        <v/>
      </c>
      <c r="M9" s="99">
        <f>ROUNDDOWN(G9*K9,0)</f>
        <v/>
      </c>
      <c r="N9" s="97">
        <f>ROUND($G9*$K9/6,0)</f>
        <v/>
      </c>
      <c r="O9" s="97">
        <f>ROUND($G9*$K9/6,0)</f>
        <v/>
      </c>
      <c r="P9" s="97">
        <f>ROUND($G9*$K9/6,0)</f>
        <v/>
      </c>
      <c r="Q9" s="97">
        <f>ROUND($G9*$K9/6,0)</f>
        <v/>
      </c>
      <c r="R9" s="97">
        <f>ROUND($G9*$K9/6*50%,0)</f>
        <v/>
      </c>
      <c r="S9" s="97">
        <f>ROUND($G9*$K9/6*30%,0)</f>
        <v/>
      </c>
      <c r="T9" s="25" t="inlineStr">
        <is>
          <t>신복초 배치 가능</t>
        </is>
      </c>
      <c r="U9" s="0" t="n">
        <v>35.5504111</v>
      </c>
      <c r="V9" s="0" t="n">
        <v>129.2617695</v>
      </c>
    </row>
    <row r="10" ht="40" customHeight="1" s="95">
      <c r="A10" s="60" t="n"/>
      <c r="B10" s="60" t="n"/>
      <c r="C10" s="60" t="inlineStr">
        <is>
          <t>미착공</t>
        </is>
      </c>
      <c r="D10" s="48" t="inlineStr">
        <is>
          <t>무거동 1532-1 일원 주상복합</t>
        </is>
      </c>
      <c r="E10" s="37" t="inlineStr">
        <is>
          <t>남구</t>
        </is>
      </c>
      <c r="F10" s="38" t="inlineStr">
        <is>
          <t>남구 무거동 1532-1번지 일원</t>
        </is>
      </c>
      <c r="G10" s="98" t="n">
        <v>188</v>
      </c>
      <c r="H10" s="56" t="inlineStr">
        <is>
          <t>2024.~2030.1.</t>
        </is>
      </c>
      <c r="I10" s="55" t="inlineStr">
        <is>
          <t>지연예정</t>
        </is>
      </c>
      <c r="J10" s="55" t="n">
        <v>2030</v>
      </c>
      <c r="K10" s="37" t="n">
        <v>0.06</v>
      </c>
      <c r="L10" s="96">
        <f>ROUNDDOWN(M10*25%,0)</f>
        <v/>
      </c>
      <c r="M10" s="99">
        <f>ROUNDDOWN(G10*K10,0)</f>
        <v/>
      </c>
      <c r="N10" s="97">
        <f>ROUND($G10*$K10/6,0)</f>
        <v/>
      </c>
      <c r="O10" s="97">
        <f>ROUND($G10*$K10/6,0)</f>
        <v/>
      </c>
      <c r="P10" s="97">
        <f>ROUND($G10*$K10/6,0)</f>
        <v/>
      </c>
      <c r="Q10" s="97">
        <f>ROUND($G10*$K10/6,0)</f>
        <v/>
      </c>
      <c r="R10" s="97">
        <f>ROUND($G10*$K10/6*50%,0)</f>
        <v/>
      </c>
      <c r="S10" s="97">
        <f>ROUND($G10*$K10/6*30%,0)</f>
        <v/>
      </c>
      <c r="T10" s="37" t="inlineStr">
        <is>
          <t>신복초 배치 가능</t>
        </is>
      </c>
      <c r="U10" s="0" t="n">
        <v>35.5508674</v>
      </c>
      <c r="V10" s="0" t="n">
        <v>129.2593679</v>
      </c>
    </row>
    <row r="11" ht="40" customHeight="1" s="95">
      <c r="A11" s="60" t="n"/>
      <c r="B11" s="60" t="n"/>
      <c r="C11" s="60" t="inlineStr">
        <is>
          <t>공사중지</t>
        </is>
      </c>
      <c r="D11" s="87" t="inlineStr">
        <is>
          <t>울산무거비스타 동원</t>
        </is>
      </c>
      <c r="E11" s="20" t="inlineStr">
        <is>
          <t>남구</t>
        </is>
      </c>
      <c r="F11" s="24" t="inlineStr">
        <is>
          <t>남구 무거동 822-10 일원</t>
        </is>
      </c>
      <c r="G11" s="25" t="n">
        <v>581</v>
      </c>
      <c r="H11" s="59" t="inlineStr">
        <is>
          <t>2028이후</t>
        </is>
      </c>
      <c r="I11" s="55" t="n">
        <v>2028</v>
      </c>
      <c r="J11" s="82" t="n"/>
      <c r="K11" s="25" t="n">
        <v>0.12</v>
      </c>
      <c r="L11" s="96">
        <f>ROUNDDOWN(M11*25%,0)</f>
        <v/>
      </c>
      <c r="M11" s="99">
        <f>ROUNDDOWN(G11*K11,0)</f>
        <v/>
      </c>
      <c r="N11" s="97">
        <f>ROUND($G11*$K11/6,0)</f>
        <v/>
      </c>
      <c r="O11" s="97">
        <f>ROUND($G11*$K11/6,0)</f>
        <v/>
      </c>
      <c r="P11" s="97">
        <f>ROUND($G11*$K11/6,0)</f>
        <v/>
      </c>
      <c r="Q11" s="97">
        <f>ROUND($G11*$K11/6,0)</f>
        <v/>
      </c>
      <c r="R11" s="97">
        <f>ROUND($G11*$K11/6*50%,0)</f>
        <v/>
      </c>
      <c r="S11" s="97">
        <f>ROUND($G11*$K11/6*30%,0)</f>
        <v/>
      </c>
      <c r="T11" s="25" t="inlineStr">
        <is>
          <t>신복초 배치 가능</t>
        </is>
      </c>
      <c r="U11" s="0" t="n">
        <v>35.5495876</v>
      </c>
      <c r="V11" s="0" t="n">
        <v>129.2596756</v>
      </c>
    </row>
    <row r="12" ht="40" customHeight="1" s="95">
      <c r="A12" s="60" t="inlineStr">
        <is>
          <t>울산대 13m</t>
        </is>
      </c>
      <c r="B12" s="60" t="inlineStr">
        <is>
          <t>완료</t>
        </is>
      </c>
      <c r="C12" s="60" t="inlineStr">
        <is>
          <t>미착공</t>
        </is>
      </c>
      <c r="D12" s="48" t="inlineStr">
        <is>
          <t>무거동 855-5 일원 주상복합</t>
        </is>
      </c>
      <c r="E12" s="35" t="inlineStr">
        <is>
          <t>남구</t>
        </is>
      </c>
      <c r="F12" s="38" t="inlineStr">
        <is>
          <t>남구 무거동 855-5 일원</t>
        </is>
      </c>
      <c r="G12" s="26" t="n">
        <v>196</v>
      </c>
      <c r="H12" s="56" t="inlineStr">
        <is>
          <t>2023.3.~
2026.이후</t>
        </is>
      </c>
      <c r="I12" s="55" t="inlineStr">
        <is>
          <t>지연예정</t>
        </is>
      </c>
      <c r="J12" s="55" t="n">
        <v>2028</v>
      </c>
      <c r="K12" s="37" t="n">
        <v>0.11</v>
      </c>
      <c r="L12" s="96">
        <f>ROUNDDOWN(M12*25%,0)</f>
        <v/>
      </c>
      <c r="M12" s="99">
        <f>ROUNDDOWN(G12*K12,0)</f>
        <v/>
      </c>
      <c r="N12" s="97">
        <f>ROUND($G12*$K12/6,0)</f>
        <v/>
      </c>
      <c r="O12" s="97">
        <f>ROUND($G12*$K12/6,0)</f>
        <v/>
      </c>
      <c r="P12" s="97">
        <f>ROUND($G12*$K12/6,0)</f>
        <v/>
      </c>
      <c r="Q12" s="97">
        <f>ROUND($G12*$K12/6,0)</f>
        <v/>
      </c>
      <c r="R12" s="97">
        <f>ROUND($G12*$K12/6*50%,0)</f>
        <v/>
      </c>
      <c r="S12" s="97">
        <f>ROUND($G12*$K12/6*30%,0)</f>
        <v/>
      </c>
      <c r="T12" s="37" t="inlineStr">
        <is>
          <t>신복초 배치 가능</t>
        </is>
      </c>
      <c r="U12" s="0" t="n">
        <v>35.5463758</v>
      </c>
      <c r="V12" s="0" t="n">
        <v>129.2611609</v>
      </c>
    </row>
    <row r="13" ht="40" customHeight="1" s="95">
      <c r="A13" s="60" t="n"/>
      <c r="B13" s="60" t="n"/>
      <c r="C13" s="60" t="inlineStr">
        <is>
          <t>미착공</t>
        </is>
      </c>
      <c r="D13" s="52" t="inlineStr">
        <is>
          <t>삼산동 1559-6 일원 주상복합</t>
        </is>
      </c>
      <c r="E13" s="35" t="inlineStr">
        <is>
          <t>남구</t>
        </is>
      </c>
      <c r="F13" s="38" t="inlineStr">
        <is>
          <t>남구 삼산동 1559-6 일원</t>
        </is>
      </c>
      <c r="G13" s="37" t="n">
        <v>280</v>
      </c>
      <c r="H13" s="54" t="inlineStr">
        <is>
          <t>2026.이후</t>
        </is>
      </c>
      <c r="I13" s="55" t="inlineStr">
        <is>
          <t>지연예정</t>
        </is>
      </c>
      <c r="J13" s="55" t="n">
        <v>2028</v>
      </c>
      <c r="K13" s="37" t="n">
        <v>0.1</v>
      </c>
      <c r="L13" s="37">
        <f>ROUNDDOWN(M13*25%,0)</f>
        <v/>
      </c>
      <c r="M13" s="37">
        <f>ROUNDDOWN(G13*K13,0)</f>
        <v/>
      </c>
      <c r="N13" s="97">
        <f>ROUND($G13*$K13/6,0)</f>
        <v/>
      </c>
      <c r="O13" s="97">
        <f>ROUND($G13*$K13/6,0)</f>
        <v/>
      </c>
      <c r="P13" s="97">
        <f>ROUND($G13*$K13/6,0)</f>
        <v/>
      </c>
      <c r="Q13" s="97">
        <f>ROUND($G13*$K13/6,0)</f>
        <v/>
      </c>
      <c r="R13" s="97">
        <f>ROUND($G13*$K13/6*50%,0)</f>
        <v/>
      </c>
      <c r="S13" s="97">
        <f>ROUND($G13*$K13/6*30%,0)</f>
        <v/>
      </c>
      <c r="T13" s="37" t="inlineStr">
        <is>
          <t>백합초 배치 가능</t>
        </is>
      </c>
      <c r="U13" s="0" t="n">
        <v>35.5409425</v>
      </c>
      <c r="V13" s="0" t="n">
        <v>129.3434952</v>
      </c>
    </row>
    <row r="14" ht="40" customHeight="1" s="95">
      <c r="A14" s="60" t="n"/>
      <c r="B14" s="60" t="n"/>
      <c r="C14" s="60" t="inlineStr">
        <is>
          <t>미착공</t>
        </is>
      </c>
      <c r="D14" s="48" t="inlineStr">
        <is>
          <t>삼산동 1639-2 일원 주상복합</t>
        </is>
      </c>
      <c r="E14" s="35" t="inlineStr">
        <is>
          <t>남구</t>
        </is>
      </c>
      <c r="F14" s="38" t="inlineStr">
        <is>
          <t>남구 삼산동 1639-2 일원</t>
        </is>
      </c>
      <c r="G14" s="26" t="n">
        <v>231</v>
      </c>
      <c r="H14" s="56" t="inlineStr">
        <is>
          <t>2023.~
2026.이후</t>
        </is>
      </c>
      <c r="I14" s="55" t="inlineStr">
        <is>
          <t>지연예정</t>
        </is>
      </c>
      <c r="J14" s="55" t="n">
        <v>2028</v>
      </c>
      <c r="K14" s="37" t="n">
        <v>0.1</v>
      </c>
      <c r="L14" s="96">
        <f>ROUNDDOWN(M14*25%,0)</f>
        <v/>
      </c>
      <c r="M14" s="99">
        <f>ROUNDDOWN(G14*K14,0)</f>
        <v/>
      </c>
      <c r="N14" s="97">
        <f>ROUND($G14*$K14/6,0)</f>
        <v/>
      </c>
      <c r="O14" s="97">
        <f>ROUND($G14*$K14/6,0)</f>
        <v/>
      </c>
      <c r="P14" s="97">
        <f>ROUND($G14*$K14/6,0)</f>
        <v/>
      </c>
      <c r="Q14" s="97">
        <f>ROUND($G14*$K14/6,0)</f>
        <v/>
      </c>
      <c r="R14" s="97">
        <f>ROUND($G14*$K14/6*50%,0)</f>
        <v/>
      </c>
      <c r="S14" s="97">
        <f>ROUND($G14*$K14/6*30%,0)</f>
        <v/>
      </c>
      <c r="T14" s="37" t="inlineStr">
        <is>
          <t>삼산초 배치 가능</t>
        </is>
      </c>
      <c r="U14" s="0" t="n">
        <v>35.5394991</v>
      </c>
      <c r="V14" s="0" t="n">
        <v>129.3505314</v>
      </c>
    </row>
    <row r="15" ht="40" customHeight="1" s="95">
      <c r="A15" s="60" t="n"/>
      <c r="B15" s="60" t="n"/>
      <c r="C15" s="60" t="inlineStr">
        <is>
          <t>미착공</t>
        </is>
      </c>
      <c r="D15" s="48" t="inlineStr">
        <is>
          <t>삼산동 1641-4 일원 주상복합</t>
        </is>
      </c>
      <c r="E15" s="35" t="inlineStr">
        <is>
          <t>남구</t>
        </is>
      </c>
      <c r="F15" s="38" t="inlineStr">
        <is>
          <t>남구 삼산동 1641-4 일원</t>
        </is>
      </c>
      <c r="G15" s="26" t="n">
        <v>216</v>
      </c>
      <c r="H15" s="56" t="inlineStr">
        <is>
          <t>2023.3.~
2026.12.이후</t>
        </is>
      </c>
      <c r="I15" s="55" t="inlineStr">
        <is>
          <t>지연예정</t>
        </is>
      </c>
      <c r="J15" s="55" t="n">
        <v>2028</v>
      </c>
      <c r="K15" s="20" t="n">
        <v>0.1</v>
      </c>
      <c r="L15" s="37">
        <f>ROUNDDOWN(M15*25%,0)</f>
        <v/>
      </c>
      <c r="M15" s="37">
        <f>ROUNDDOWN(G15*K15,0)</f>
        <v/>
      </c>
      <c r="N15" s="97">
        <f>ROUND($G15*$K15/6,0)</f>
        <v/>
      </c>
      <c r="O15" s="97">
        <f>ROUND($G15*$K15/6,0)</f>
        <v/>
      </c>
      <c r="P15" s="97">
        <f>ROUND($G15*$K15/6,0)</f>
        <v/>
      </c>
      <c r="Q15" s="97">
        <f>ROUND($G15*$K15/6,0)</f>
        <v/>
      </c>
      <c r="R15" s="97">
        <f>ROUND($G15*$K15/6*50%,0)</f>
        <v/>
      </c>
      <c r="S15" s="97">
        <f>ROUND($G15*$K15/6*30%,0)</f>
        <v/>
      </c>
      <c r="T15" s="37" t="inlineStr">
        <is>
          <t>삼산초 배치 가능</t>
        </is>
      </c>
      <c r="U15" s="0" t="n">
        <v>35.5393699</v>
      </c>
      <c r="V15" s="0" t="n">
        <v>129.3483136</v>
      </c>
    </row>
    <row r="16" ht="40" customHeight="1" s="95">
      <c r="A16" s="60" t="n"/>
      <c r="B16" s="60" t="n"/>
      <c r="C16" s="60" t="inlineStr">
        <is>
          <t>미착공</t>
        </is>
      </c>
      <c r="D16" s="49" t="inlineStr">
        <is>
          <t>삼산동 1655-1번지 일원 주상복합
(㈜세원개발)</t>
        </is>
      </c>
      <c r="E16" s="20" t="inlineStr">
        <is>
          <t>남구</t>
        </is>
      </c>
      <c r="F16" s="24" t="inlineStr">
        <is>
          <t>남구 삼산동 1655-1 일원</t>
        </is>
      </c>
      <c r="G16" s="25" t="n">
        <v>154</v>
      </c>
      <c r="H16" s="58" t="inlineStr">
        <is>
          <t>2027.1.이후</t>
        </is>
      </c>
      <c r="I16" s="55" t="inlineStr">
        <is>
          <t>지연예정</t>
        </is>
      </c>
      <c r="J16" s="55" t="n">
        <v>2028</v>
      </c>
      <c r="K16" s="25" t="n">
        <v>0.12</v>
      </c>
      <c r="L16" s="96">
        <f>ROUNDDOWN(M16*25%,0)</f>
        <v/>
      </c>
      <c r="M16" s="99">
        <f>ROUNDDOWN(G16*K16,0)</f>
        <v/>
      </c>
      <c r="N16" s="97">
        <f>ROUND($G16*$K16/6,0)</f>
        <v/>
      </c>
      <c r="O16" s="97">
        <f>ROUND($G16*$K16/6,0)</f>
        <v/>
      </c>
      <c r="P16" s="97">
        <f>ROUND($G16*$K16/6,0)</f>
        <v/>
      </c>
      <c r="Q16" s="97">
        <f>ROUND($G16*$K16/6,0)</f>
        <v/>
      </c>
      <c r="R16" s="97">
        <f>ROUND($G16*$K16/6*50%,0)</f>
        <v/>
      </c>
      <c r="S16" s="97">
        <f>ROUND($G16*$K16/6*30%,0)</f>
        <v/>
      </c>
      <c r="T16" s="25" t="inlineStr">
        <is>
          <t>삼산초 배치 가능</t>
        </is>
      </c>
      <c r="U16" s="0" t="n">
        <v>35.5359122</v>
      </c>
      <c r="V16" s="0" t="n">
        <v>129.350855</v>
      </c>
    </row>
    <row r="17" ht="40" customHeight="1" s="95">
      <c r="A17" s="60" t="n"/>
      <c r="B17" s="60" t="n"/>
      <c r="C17" s="60" t="inlineStr">
        <is>
          <t>미착공</t>
        </is>
      </c>
      <c r="D17" s="52" t="inlineStr">
        <is>
          <t>삼산동 1656-1 일원 주상복합</t>
        </is>
      </c>
      <c r="E17" s="35" t="inlineStr">
        <is>
          <t>남구</t>
        </is>
      </c>
      <c r="F17" s="38" t="inlineStr">
        <is>
          <t>남구 삼산동 1656-1 일원</t>
        </is>
      </c>
      <c r="G17" s="26" t="n">
        <v>196</v>
      </c>
      <c r="H17" s="56" t="inlineStr">
        <is>
          <t>2022.10.~
2026.9.이후</t>
        </is>
      </c>
      <c r="I17" s="55" t="inlineStr">
        <is>
          <t>지연예정</t>
        </is>
      </c>
      <c r="J17" s="55" t="n">
        <v>2028</v>
      </c>
      <c r="K17" s="20" t="n">
        <v>0.1</v>
      </c>
      <c r="L17" s="37">
        <f>ROUNDDOWN(M17*25%,0)</f>
        <v/>
      </c>
      <c r="M17" s="37">
        <f>ROUNDDOWN(G17*K17,0)</f>
        <v/>
      </c>
      <c r="N17" s="97">
        <f>ROUND($G17*$K17/6,0)</f>
        <v/>
      </c>
      <c r="O17" s="97">
        <f>ROUND($G17*$K17/6,0)</f>
        <v/>
      </c>
      <c r="P17" s="97">
        <f>ROUND($G17*$K17/6,0)</f>
        <v/>
      </c>
      <c r="Q17" s="97">
        <f>ROUND($G17*$K17/6,0)</f>
        <v/>
      </c>
      <c r="R17" s="97">
        <f>ROUND($G17*$K17/6*50%,0)</f>
        <v/>
      </c>
      <c r="S17" s="97">
        <f>ROUND($G17*$K17/6*30%,0)</f>
        <v/>
      </c>
      <c r="T17" s="37" t="inlineStr">
        <is>
          <t>삼산초 배치 가능</t>
        </is>
      </c>
      <c r="U17" s="0" t="n">
        <v>35.5347854</v>
      </c>
      <c r="V17" s="0" t="n">
        <v>129.3498178</v>
      </c>
    </row>
    <row r="18" ht="40" customHeight="1" s="95">
      <c r="A18" s="60" t="n"/>
      <c r="B18" s="60" t="n"/>
      <c r="C18" s="60" t="inlineStr">
        <is>
          <t>미착공</t>
        </is>
      </c>
      <c r="D18" s="52" t="inlineStr">
        <is>
          <t>삼산동 224-1 주상복합</t>
        </is>
      </c>
      <c r="E18" s="35" t="inlineStr">
        <is>
          <t>남구</t>
        </is>
      </c>
      <c r="F18" s="38" t="inlineStr">
        <is>
          <t>남구 삼산동 224-1 일원</t>
        </is>
      </c>
      <c r="G18" s="37" t="n">
        <v>149</v>
      </c>
      <c r="H18" s="54" t="inlineStr">
        <is>
          <t>2026.1.이후</t>
        </is>
      </c>
      <c r="I18" s="55" t="inlineStr">
        <is>
          <t>지연예정</t>
        </is>
      </c>
      <c r="J18" s="55" t="n">
        <v>2028</v>
      </c>
      <c r="K18" s="37" t="n">
        <v>0.1</v>
      </c>
      <c r="L18" s="37">
        <f>ROUNDDOWN(M18*25%,0)</f>
        <v/>
      </c>
      <c r="M18" s="37">
        <f>ROUNDDOWN(G18*K18,0)</f>
        <v/>
      </c>
      <c r="N18" s="97">
        <f>ROUND($G18*$K18/6,0)</f>
        <v/>
      </c>
      <c r="O18" s="97">
        <f>ROUND($G18*$K18/6,0)</f>
        <v/>
      </c>
      <c r="P18" s="97">
        <f>ROUND($G18*$K18/6,0)</f>
        <v/>
      </c>
      <c r="Q18" s="97">
        <f>ROUND($G18*$K18/6,0)</f>
        <v/>
      </c>
      <c r="R18" s="97">
        <f>ROUND($G18*$K18/6*50%,0)</f>
        <v/>
      </c>
      <c r="S18" s="97">
        <f>ROUND($G18*$K18/6*30%,0)</f>
        <v/>
      </c>
      <c r="T18" s="37" t="inlineStr">
        <is>
          <t>삼산초 배치 가능</t>
        </is>
      </c>
      <c r="U18" s="0" t="n">
        <v>35.5407837</v>
      </c>
      <c r="V18" s="0" t="n">
        <v>129.3472311</v>
      </c>
    </row>
    <row r="19" ht="40" customHeight="1" s="95">
      <c r="A19" s="60" t="n"/>
      <c r="B19" s="60" t="n"/>
      <c r="C19" s="60" t="inlineStr">
        <is>
          <t>미착공</t>
        </is>
      </c>
      <c r="D19" s="48" t="inlineStr">
        <is>
          <t>삼산동 227-8 일원 주상복합</t>
        </is>
      </c>
      <c r="E19" s="37" t="inlineStr">
        <is>
          <t>남구</t>
        </is>
      </c>
      <c r="F19" s="38" t="inlineStr">
        <is>
          <t>남구 삼산동 227-8 일원</t>
        </is>
      </c>
      <c r="G19" s="98" t="n">
        <v>225</v>
      </c>
      <c r="H19" s="56" t="inlineStr">
        <is>
          <t>2023.~
2026.11.이후</t>
        </is>
      </c>
      <c r="I19" s="55" t="inlineStr">
        <is>
          <t>지연예정</t>
        </is>
      </c>
      <c r="J19" s="55" t="n">
        <v>2028</v>
      </c>
      <c r="K19" s="37" t="n">
        <v>0.1</v>
      </c>
      <c r="L19" s="37">
        <f>ROUNDDOWN(M19*25%,0)</f>
        <v/>
      </c>
      <c r="M19" s="37">
        <f>ROUNDDOWN(G19*K19,0)</f>
        <v/>
      </c>
      <c r="N19" s="97">
        <f>ROUND($G19*$K19/6,0)</f>
        <v/>
      </c>
      <c r="O19" s="97">
        <f>ROUND($G19*$K19/6,0)</f>
        <v/>
      </c>
      <c r="P19" s="97">
        <f>ROUND($G19*$K19/6,0)</f>
        <v/>
      </c>
      <c r="Q19" s="97">
        <f>ROUND($G19*$K19/6,0)</f>
        <v/>
      </c>
      <c r="R19" s="97">
        <f>ROUND($G19*$K19/6*50%,0)</f>
        <v/>
      </c>
      <c r="S19" s="97">
        <f>ROUND($G19*$K19/6*30%,0)</f>
        <v/>
      </c>
      <c r="T19" s="37" t="inlineStr">
        <is>
          <t>삼산초 배치 가능</t>
        </is>
      </c>
      <c r="U19" s="0" t="n">
        <v>35.5402292</v>
      </c>
      <c r="V19" s="0" t="n">
        <v>129.3446425</v>
      </c>
    </row>
    <row r="20" ht="40" customHeight="1" s="95">
      <c r="A20" s="60" t="n"/>
      <c r="B20" s="60" t="inlineStr">
        <is>
          <t>완료</t>
        </is>
      </c>
      <c r="C20" s="60" t="inlineStr">
        <is>
          <t>해체공사(24.2.~24.12.)</t>
        </is>
      </c>
      <c r="D20" s="48" t="inlineStr">
        <is>
          <t>신정동 1094 일원 주상복합</t>
        </is>
      </c>
      <c r="E20" s="35" t="inlineStr">
        <is>
          <t>남구</t>
        </is>
      </c>
      <c r="F20" s="38" t="inlineStr">
        <is>
          <t>남구 신정동 1094번지 일원</t>
        </is>
      </c>
      <c r="G20" s="26" t="n">
        <v>313</v>
      </c>
      <c r="H20" s="56" t="inlineStr">
        <is>
          <t>2026.12.이후</t>
        </is>
      </c>
      <c r="I20" s="55" t="inlineStr">
        <is>
          <t>지연예정</t>
        </is>
      </c>
      <c r="J20" s="55" t="n">
        <v>2028</v>
      </c>
      <c r="K20" s="37" t="n">
        <v>0.12</v>
      </c>
      <c r="L20" s="96">
        <f>ROUNDDOWN(M20*25%,0)</f>
        <v/>
      </c>
      <c r="M20" s="99">
        <f>ROUNDDOWN(G20*K20,0)</f>
        <v/>
      </c>
      <c r="N20" s="97">
        <f>ROUND($G20*$K20/6,0)</f>
        <v/>
      </c>
      <c r="O20" s="97">
        <f>ROUND($G20*$K20/6,0)</f>
        <v/>
      </c>
      <c r="P20" s="97">
        <f>ROUND($G20*$K20/6,0)</f>
        <v/>
      </c>
      <c r="Q20" s="97">
        <f>ROUND($G20*$K20/6,0)</f>
        <v/>
      </c>
      <c r="R20" s="97">
        <f>ROUND($G20*$K20/6*50%,0)</f>
        <v/>
      </c>
      <c r="S20" s="97">
        <f>ROUND($G20*$K20/6*30%,0)</f>
        <v/>
      </c>
      <c r="T20" s="37" t="inlineStr">
        <is>
          <t>월평초 배치 가능</t>
        </is>
      </c>
      <c r="U20" s="0" t="n">
        <v>35.5315569</v>
      </c>
      <c r="V20" s="0" t="n">
        <v>129.3081982</v>
      </c>
    </row>
    <row r="21" ht="40" customHeight="1" s="95">
      <c r="A21" s="60" t="n"/>
      <c r="B21" s="60" t="inlineStr">
        <is>
          <t>완료</t>
        </is>
      </c>
      <c r="C21" s="60" t="inlineStr">
        <is>
          <t>착공</t>
        </is>
      </c>
      <c r="D21" s="50" t="inlineStr">
        <is>
          <t>신정동 더폴울산신정 주상복합</t>
        </is>
      </c>
      <c r="E21" s="20" t="inlineStr">
        <is>
          <t>남구</t>
        </is>
      </c>
      <c r="F21" s="24" t="inlineStr">
        <is>
          <t>남구 신정동 1133-14 일원</t>
        </is>
      </c>
      <c r="G21" s="25" t="n">
        <v>204</v>
      </c>
      <c r="H21" s="59" t="inlineStr">
        <is>
          <t>2027.2.</t>
        </is>
      </c>
      <c r="I21" s="57" t="n">
        <v>2027</v>
      </c>
      <c r="J21" s="80" t="n"/>
      <c r="K21" s="25" t="n">
        <v>0.21</v>
      </c>
      <c r="L21" s="96">
        <f>ROUNDDOWN(M21*25%,0)</f>
        <v/>
      </c>
      <c r="M21" s="99">
        <f>ROUNDDOWN(G21*K21,0)</f>
        <v/>
      </c>
      <c r="N21" s="97">
        <f>ROUND($G21*$K21/6,0)</f>
        <v/>
      </c>
      <c r="O21" s="97">
        <f>ROUND($G21*$K21/6,0)</f>
        <v/>
      </c>
      <c r="P21" s="97">
        <f>ROUND($G21*$K21/6,0)</f>
        <v/>
      </c>
      <c r="Q21" s="97">
        <f>ROUND($G21*$K21/6,0)</f>
        <v/>
      </c>
      <c r="R21" s="97">
        <f>ROUND($G21*$K21/6*50%,0)</f>
        <v/>
      </c>
      <c r="S21" s="97">
        <f>ROUND($G21*$K21/6*30%,0)</f>
        <v/>
      </c>
      <c r="T21" s="20" t="inlineStr">
        <is>
          <t>신정초 증축 후 배치</t>
        </is>
      </c>
      <c r="U21" s="0" t="n">
        <v>35.5402873</v>
      </c>
      <c r="V21" s="0" t="n">
        <v>129.3063644</v>
      </c>
    </row>
    <row r="22" ht="40" customHeight="1" s="95">
      <c r="A22" s="60" t="n"/>
      <c r="B22" s="60" t="inlineStr">
        <is>
          <t>완료</t>
        </is>
      </c>
      <c r="C22" s="60" t="inlineStr">
        <is>
          <t>착공</t>
        </is>
      </c>
      <c r="D22" s="50" t="inlineStr">
        <is>
          <t>e편한세상 신정스카이하임</t>
        </is>
      </c>
      <c r="E22" s="20" t="inlineStr">
        <is>
          <t>남구</t>
        </is>
      </c>
      <c r="F22" s="24" t="inlineStr">
        <is>
          <t>남구 신정동 1136-3</t>
        </is>
      </c>
      <c r="G22" s="25" t="n">
        <v>221</v>
      </c>
      <c r="H22" s="59" t="inlineStr">
        <is>
          <t>2026.10.</t>
        </is>
      </c>
      <c r="I22" s="57" t="n">
        <v>2026</v>
      </c>
      <c r="J22" s="80" t="n"/>
      <c r="K22" s="25" t="n">
        <v>0.21</v>
      </c>
      <c r="L22" s="96">
        <f>ROUNDDOWN(M22*25%,0)</f>
        <v/>
      </c>
      <c r="M22" s="99">
        <f>ROUNDDOWN(G22*K22,0)</f>
        <v/>
      </c>
      <c r="N22" s="97">
        <f>ROUND($G22*$K22/6,0)</f>
        <v/>
      </c>
      <c r="O22" s="97">
        <f>ROUND($G22*$K22/6,0)</f>
        <v/>
      </c>
      <c r="P22" s="97">
        <f>ROUND($G22*$K22/6,0)</f>
        <v/>
      </c>
      <c r="Q22" s="97">
        <f>ROUND($G22*$K22/6,0)</f>
        <v/>
      </c>
      <c r="R22" s="97">
        <f>ROUND($G22*$K22/6*50%,0)</f>
        <v/>
      </c>
      <c r="S22" s="97">
        <f>ROUND($G22*$K22/6*30%,0)</f>
        <v/>
      </c>
      <c r="T22" s="20" t="inlineStr">
        <is>
          <t>신정초 증축 후 배치</t>
        </is>
      </c>
      <c r="U22" s="0" t="n">
        <v>35.5394708</v>
      </c>
      <c r="V22" s="0" t="n">
        <v>129.3057807</v>
      </c>
    </row>
    <row r="23" ht="40" customHeight="1" s="95">
      <c r="A23" s="60" t="n"/>
      <c r="B23" s="60" t="inlineStr">
        <is>
          <t>완료</t>
        </is>
      </c>
      <c r="C23" s="60" t="inlineStr">
        <is>
          <t>착공</t>
        </is>
      </c>
      <c r="D23" s="49" t="inlineStr">
        <is>
          <t>신정동 1151-1 일원 주상복합
(문수로 센트레빌 에듀리체)</t>
        </is>
      </c>
      <c r="E23" s="20" t="inlineStr">
        <is>
          <t>남구</t>
        </is>
      </c>
      <c r="F23" s="16" t="inlineStr">
        <is>
          <t>남구 신정동 1151-1 일원</t>
        </is>
      </c>
      <c r="G23" s="26" t="n">
        <v>368</v>
      </c>
      <c r="H23" s="67" t="inlineStr">
        <is>
          <t>2026.12.
→ 2028.3.</t>
        </is>
      </c>
      <c r="I23" s="68" t="n">
        <v>2028</v>
      </c>
      <c r="J23" s="83" t="n"/>
      <c r="K23" s="20" t="n">
        <v>0.14</v>
      </c>
      <c r="L23" s="96">
        <f>ROUNDDOWN(M23*25%,0)</f>
        <v/>
      </c>
      <c r="M23" s="99">
        <f>ROUNDDOWN(G23*K23,0)</f>
        <v/>
      </c>
      <c r="N23" s="97">
        <f>ROUND($G23*$K23/6,0)</f>
        <v/>
      </c>
      <c r="O23" s="97">
        <f>ROUND($G23*$K23/6,0)</f>
        <v/>
      </c>
      <c r="P23" s="97">
        <f>ROUND($G23*$K23/6,0)</f>
        <v/>
      </c>
      <c r="Q23" s="97">
        <f>ROUND($G23*$K23/6,0)</f>
        <v/>
      </c>
      <c r="R23" s="97">
        <f>ROUND($G23*$K23/6*50%,0)</f>
        <v/>
      </c>
      <c r="S23" s="97">
        <f>ROUND($G23*$K23/6*30%,0)</f>
        <v/>
      </c>
      <c r="T23" s="20" t="inlineStr">
        <is>
          <t>신정초 증축 후 배치</t>
        </is>
      </c>
      <c r="U23" s="0" t="n">
        <v>35.5384301</v>
      </c>
      <c r="V23" s="0" t="n">
        <v>129.3070876</v>
      </c>
    </row>
    <row r="24" ht="40" customHeight="1" s="95">
      <c r="A24" s="60" t="n"/>
      <c r="B24" s="60" t="inlineStr">
        <is>
          <t>완료</t>
        </is>
      </c>
      <c r="C24" s="60" t="inlineStr">
        <is>
          <t>착공</t>
        </is>
      </c>
      <c r="D24" s="49" t="inlineStr">
        <is>
          <t>문수로 금호어울림더퍼스트
(문수로 아테라)</t>
        </is>
      </c>
      <c r="E24" s="20" t="inlineStr">
        <is>
          <t>남구</t>
        </is>
      </c>
      <c r="F24" s="16" t="inlineStr">
        <is>
          <t>남구 신정동 1154-7 일원</t>
        </is>
      </c>
      <c r="G24" s="26" t="n">
        <v>402</v>
      </c>
      <c r="H24" s="58" t="inlineStr">
        <is>
          <t>2025.12.</t>
        </is>
      </c>
      <c r="I24" s="57" t="n">
        <v>2026</v>
      </c>
      <c r="J24" s="21" t="n"/>
      <c r="K24" s="33" t="n">
        <v>0.12</v>
      </c>
      <c r="L24" s="96">
        <f>ROUNDDOWN(M24*25%,0)</f>
        <v/>
      </c>
      <c r="M24" s="99">
        <f>ROUNDDOWN(G24*K24,0)</f>
        <v/>
      </c>
      <c r="N24" s="97">
        <f>ROUND($G24*$K24/6,0)</f>
        <v/>
      </c>
      <c r="O24" s="97">
        <f>ROUND($G24*$K24/6,0)</f>
        <v/>
      </c>
      <c r="P24" s="97">
        <f>ROUND($G24*$K24/6,0)</f>
        <v/>
      </c>
      <c r="Q24" s="97">
        <f>ROUND($G24*$K24/6,0)</f>
        <v/>
      </c>
      <c r="R24" s="97">
        <f>ROUND($G24*$K24/6*50%,0)</f>
        <v/>
      </c>
      <c r="S24" s="97">
        <f>ROUND($G24*$K24/6*30%,0)</f>
        <v/>
      </c>
      <c r="T24" s="20" t="inlineStr">
        <is>
          <t>신정초 증축 후 배치</t>
        </is>
      </c>
      <c r="U24" s="0" t="n">
        <v>35.5376989</v>
      </c>
      <c r="V24" s="0" t="n">
        <v>129.3071321</v>
      </c>
    </row>
    <row r="25" ht="40" customHeight="1" s="95">
      <c r="A25" s="60" t="inlineStr">
        <is>
          <t>울여고 10m</t>
        </is>
      </c>
      <c r="B25" s="60" t="inlineStr">
        <is>
          <t>완료</t>
        </is>
      </c>
      <c r="C25" s="60" t="inlineStr">
        <is>
          <t>미착공</t>
        </is>
      </c>
      <c r="D25" s="49" t="inlineStr">
        <is>
          <t>신정동 1201-1 일원 주상복합</t>
        </is>
      </c>
      <c r="E25" s="20" t="inlineStr">
        <is>
          <t>남구</t>
        </is>
      </c>
      <c r="F25" s="27" t="inlineStr">
        <is>
          <t>남구 신정동 1201-1 일원</t>
        </is>
      </c>
      <c r="G25" s="20" t="n">
        <v>489</v>
      </c>
      <c r="H25" s="58" t="inlineStr">
        <is>
          <t>2026.중순 이후</t>
        </is>
      </c>
      <c r="I25" s="55" t="inlineStr">
        <is>
          <t>지연예정</t>
        </is>
      </c>
      <c r="J25" s="70" t="n">
        <v>2028</v>
      </c>
      <c r="K25" s="20" t="n">
        <v>0.21</v>
      </c>
      <c r="L25" s="96">
        <f>ROUNDDOWN(M25*25%,0)</f>
        <v/>
      </c>
      <c r="M25" s="96">
        <f>ROUNDDOWN(G25*K25,0)</f>
        <v/>
      </c>
      <c r="N25" s="97">
        <f>ROUND($G25*$K25/6,0)</f>
        <v/>
      </c>
      <c r="O25" s="97">
        <f>ROUND($G25*$K25/6,0)</f>
        <v/>
      </c>
      <c r="P25" s="97">
        <f>ROUND($G25*$K25/6,0)</f>
        <v/>
      </c>
      <c r="Q25" s="97">
        <f>ROUND($G25*$K25/6,0)</f>
        <v/>
      </c>
      <c r="R25" s="97">
        <f>ROUND($G25*$K25/6*50%,0)</f>
        <v/>
      </c>
      <c r="S25" s="97">
        <f>ROUND($G25*$K25/6*30%,0)</f>
        <v/>
      </c>
      <c r="T25" s="20" t="inlineStr">
        <is>
          <t>신정초 배치 가능</t>
        </is>
      </c>
      <c r="U25" s="0" t="n">
        <v>35.5358504</v>
      </c>
      <c r="V25" s="0" t="n">
        <v>129.3069694</v>
      </c>
    </row>
    <row r="26" ht="40" customHeight="1" s="95">
      <c r="A26" s="60" t="n"/>
      <c r="B26" s="60" t="inlineStr">
        <is>
          <t>완료</t>
        </is>
      </c>
      <c r="C26" s="60" t="inlineStr">
        <is>
          <t>미착공</t>
        </is>
      </c>
      <c r="D26" s="52" t="inlineStr">
        <is>
          <t>신정동 1232-1 일원 주상복합</t>
        </is>
      </c>
      <c r="E26" s="35" t="inlineStr">
        <is>
          <t>남구</t>
        </is>
      </c>
      <c r="F26" s="38" t="inlineStr">
        <is>
          <t>남구 신정동 1232-1 일원</t>
        </is>
      </c>
      <c r="G26" s="37" t="n">
        <v>195</v>
      </c>
      <c r="H26" s="56" t="inlineStr">
        <is>
          <t>2022.10.~
2026.이후</t>
        </is>
      </c>
      <c r="I26" s="55" t="inlineStr">
        <is>
          <t>지연예정</t>
        </is>
      </c>
      <c r="J26" s="70" t="n">
        <v>2028</v>
      </c>
      <c r="K26" s="37" t="n">
        <v>0.12</v>
      </c>
      <c r="L26" s="96">
        <f>ROUNDDOWN(M26*25%,0)</f>
        <v/>
      </c>
      <c r="M26" s="99">
        <f>ROUNDDOWN(G26*K26,0)</f>
        <v/>
      </c>
      <c r="N26" s="97">
        <f>ROUND($G26*$K26/6,0)</f>
        <v/>
      </c>
      <c r="O26" s="97">
        <f>ROUND($G26*$K26/6,0)</f>
        <v/>
      </c>
      <c r="P26" s="97">
        <f>ROUND($G26*$K26/6,0)</f>
        <v/>
      </c>
      <c r="Q26" s="97">
        <f>ROUND($G26*$K26/6,0)</f>
        <v/>
      </c>
      <c r="R26" s="97">
        <f>ROUND($G26*$K26/6*50%,0)</f>
        <v/>
      </c>
      <c r="S26" s="97">
        <f>ROUND($G26*$K26/6*30%,0)</f>
        <v/>
      </c>
      <c r="T26" s="37" t="inlineStr">
        <is>
          <t>월평초 배치 가능</t>
        </is>
      </c>
      <c r="U26" s="0" t="n">
        <v>35.5325607</v>
      </c>
      <c r="V26" s="0" t="n">
        <v>129.3099757</v>
      </c>
    </row>
    <row r="27" ht="40" customHeight="1" s="95">
      <c r="A27" s="60" t="n"/>
      <c r="B27" s="60" t="inlineStr">
        <is>
          <t>완료</t>
        </is>
      </c>
      <c r="C27" s="60" t="inlineStr">
        <is>
          <t>미착공</t>
        </is>
      </c>
      <c r="D27" s="48" t="inlineStr">
        <is>
          <t>신정동 1235-1 일원 주상복합</t>
        </is>
      </c>
      <c r="E27" s="35" t="inlineStr">
        <is>
          <t>남구</t>
        </is>
      </c>
      <c r="F27" s="38" t="inlineStr">
        <is>
          <t>남구 신정동 1235-1 일원</t>
        </is>
      </c>
      <c r="G27" s="37" t="n">
        <v>160</v>
      </c>
      <c r="H27" s="56" t="inlineStr">
        <is>
          <t>2025.12.
→ 2028.6.이후</t>
        </is>
      </c>
      <c r="I27" s="55" t="inlineStr">
        <is>
          <t>지연예정</t>
        </is>
      </c>
      <c r="J27" s="70" t="n">
        <v>2028</v>
      </c>
      <c r="K27" s="37" t="n">
        <v>0.21</v>
      </c>
      <c r="L27" s="96">
        <f>ROUNDDOWN(M27*25%,0)</f>
        <v/>
      </c>
      <c r="M27" s="96">
        <f>ROUNDDOWN(G27*K27,0)</f>
        <v/>
      </c>
      <c r="N27" s="97">
        <f>ROUND($G27*$K27/6,0)</f>
        <v/>
      </c>
      <c r="O27" s="97">
        <f>ROUND($G27*$K27/6,0)</f>
        <v/>
      </c>
      <c r="P27" s="97">
        <f>ROUND($G27*$K27/6,0)</f>
        <v/>
      </c>
      <c r="Q27" s="97">
        <f>ROUND($G27*$K27/6,0)</f>
        <v/>
      </c>
      <c r="R27" s="97">
        <f>ROUND($G27*$K27/6*50%,0)</f>
        <v/>
      </c>
      <c r="S27" s="97">
        <f>ROUND($G27*$K27/6*30%,0)</f>
        <v/>
      </c>
      <c r="T27" s="37" t="inlineStr">
        <is>
          <t>신정초 배치 가능</t>
        </is>
      </c>
      <c r="U27" s="0" t="n">
        <v>35.5403263</v>
      </c>
      <c r="V27" s="0" t="n">
        <v>129.3053852</v>
      </c>
    </row>
    <row r="28" ht="40" customHeight="1" s="95">
      <c r="A28" s="60" t="inlineStr">
        <is>
          <t>신정초 7.5m</t>
        </is>
      </c>
      <c r="B28" s="60" t="inlineStr">
        <is>
          <t>완료</t>
        </is>
      </c>
      <c r="C28" s="60" t="inlineStr">
        <is>
          <t>미착공</t>
        </is>
      </c>
      <c r="D28" s="48" t="inlineStr">
        <is>
          <t>신정동 1238-10 일원 주상복합</t>
        </is>
      </c>
      <c r="E28" s="35" t="inlineStr">
        <is>
          <t>남구</t>
        </is>
      </c>
      <c r="F28" s="38" t="inlineStr">
        <is>
          <t>남구 신정동 1238-10 일원</t>
        </is>
      </c>
      <c r="G28" s="26" t="n">
        <v>256</v>
      </c>
      <c r="H28" s="56" t="inlineStr">
        <is>
          <t>2028. 하반기
→ 2028.12.</t>
        </is>
      </c>
      <c r="I28" s="69" t="n">
        <v>2029</v>
      </c>
      <c r="J28" s="85" t="n"/>
      <c r="K28" s="37" t="n">
        <v>0.21</v>
      </c>
      <c r="L28" s="96">
        <f>ROUNDDOWN(M28*25%,0)</f>
        <v/>
      </c>
      <c r="M28" s="99">
        <f>ROUNDDOWN(G28*K28,0)</f>
        <v/>
      </c>
      <c r="N28" s="97">
        <f>ROUND($G28*$K28/6,0)</f>
        <v/>
      </c>
      <c r="O28" s="97">
        <f>ROUND($G28*$K28/6,0)</f>
        <v/>
      </c>
      <c r="P28" s="97">
        <f>ROUND($G28*$K28/6,0)</f>
        <v/>
      </c>
      <c r="Q28" s="97">
        <f>ROUND($G28*$K28/6,0)</f>
        <v/>
      </c>
      <c r="R28" s="97">
        <f>ROUND($G28*$K28/6*50%,0)</f>
        <v/>
      </c>
      <c r="S28" s="97">
        <f>ROUND($G28*$K28/6*30%,0)</f>
        <v/>
      </c>
      <c r="T28" s="37" t="inlineStr">
        <is>
          <t>신정초 배치 가능</t>
        </is>
      </c>
      <c r="U28" s="0" t="n">
        <v>35.5394041</v>
      </c>
      <c r="V28" s="0" t="n">
        <v>129.3051571</v>
      </c>
    </row>
    <row r="29" ht="40" customHeight="1" s="95">
      <c r="A29" s="60" t="n"/>
      <c r="B29" s="60" t="inlineStr">
        <is>
          <t>완료</t>
        </is>
      </c>
      <c r="C29" s="60" t="inlineStr">
        <is>
          <t>착공</t>
        </is>
      </c>
      <c r="D29" s="49" t="inlineStr">
        <is>
          <t>문수로 푸르지오 어반피스
(신정6지구)</t>
        </is>
      </c>
      <c r="E29" s="20" t="inlineStr">
        <is>
          <t>남구</t>
        </is>
      </c>
      <c r="F29" s="16" t="inlineStr">
        <is>
          <t>남구 신정동 1266-6 일원</t>
        </is>
      </c>
      <c r="G29" s="26" t="n">
        <v>339</v>
      </c>
      <c r="H29" s="58" t="inlineStr">
        <is>
          <t>2026.6.</t>
        </is>
      </c>
      <c r="I29" s="57" t="n">
        <v>2026</v>
      </c>
      <c r="J29" s="80" t="n"/>
      <c r="K29" s="20" t="n">
        <v>0.21</v>
      </c>
      <c r="L29" s="96">
        <f>ROUNDDOWN(M29*25%,0)</f>
        <v/>
      </c>
      <c r="M29" s="99">
        <f>ROUNDDOWN(G29*K29,0)</f>
        <v/>
      </c>
      <c r="N29" s="97">
        <f>ROUND($G29*$K29/6,0)</f>
        <v/>
      </c>
      <c r="O29" s="97">
        <f>ROUND($G29*$K29/6,0)</f>
        <v/>
      </c>
      <c r="P29" s="97">
        <f>ROUND($G29*$K29/6,0)</f>
        <v/>
      </c>
      <c r="Q29" s="97">
        <f>ROUND($G29*$K29/6,0)</f>
        <v/>
      </c>
      <c r="R29" s="97">
        <f>ROUND($G29*$K29/6*50%,0)</f>
        <v/>
      </c>
      <c r="S29" s="97">
        <f>ROUND($G29*$K29/6*30%,0)</f>
        <v/>
      </c>
      <c r="T29" s="20" t="inlineStr">
        <is>
          <t>신정초 배치 가능</t>
        </is>
      </c>
      <c r="U29" s="0" t="n">
        <v>35.5355699</v>
      </c>
      <c r="V29" s="0" t="n">
        <v>129.3060383</v>
      </c>
    </row>
    <row r="30" ht="40" customHeight="1" s="95">
      <c r="A30" s="60" t="n"/>
      <c r="B30" s="60" t="inlineStr">
        <is>
          <t>완료</t>
        </is>
      </c>
      <c r="C30" s="60" t="inlineStr">
        <is>
          <t>착공</t>
        </is>
      </c>
      <c r="D30" s="49" t="inlineStr">
        <is>
          <t>문수로 롯데캐슬 그랑파르크</t>
        </is>
      </c>
      <c r="E30" s="20" t="inlineStr">
        <is>
          <t>남구</t>
        </is>
      </c>
      <c r="F30" s="24" t="inlineStr">
        <is>
          <t>남구 신정동 1267-6 일원</t>
        </is>
      </c>
      <c r="G30" s="25" t="n">
        <v>245</v>
      </c>
      <c r="H30" s="59" t="inlineStr">
        <is>
          <t>2026.8.</t>
        </is>
      </c>
      <c r="I30" s="57" t="n">
        <v>2026</v>
      </c>
      <c r="J30" s="80" t="n"/>
      <c r="K30" s="25" t="n">
        <v>0.12</v>
      </c>
      <c r="L30" s="96">
        <f>ROUNDDOWN(M30*25%,0)</f>
        <v/>
      </c>
      <c r="M30" s="99">
        <f>ROUNDDOWN(G30*K30,0)</f>
        <v/>
      </c>
      <c r="N30" s="97">
        <f>ROUND($G30*$K30/6,0)</f>
        <v/>
      </c>
      <c r="O30" s="97">
        <f>ROUND($G30*$K30/6,0)</f>
        <v/>
      </c>
      <c r="P30" s="97">
        <f>ROUND($G30*$K30/6,0)</f>
        <v/>
      </c>
      <c r="Q30" s="97">
        <f>ROUND($G30*$K30/6,0)</f>
        <v/>
      </c>
      <c r="R30" s="97">
        <f>ROUND($G30*$K30/6*50%,0)</f>
        <v/>
      </c>
      <c r="S30" s="97">
        <f>ROUND($G30*$K30/6*30%,0)</f>
        <v/>
      </c>
      <c r="T30" s="25" t="inlineStr">
        <is>
          <t>옥동초 배치 가능</t>
        </is>
      </c>
      <c r="U30" s="0" t="n">
        <v>35.5339358</v>
      </c>
      <c r="V30" s="0" t="n">
        <v>129.3065767</v>
      </c>
    </row>
    <row r="31" ht="40" customHeight="1" s="95">
      <c r="A31" s="60" t="n"/>
      <c r="B31" s="60" t="n"/>
      <c r="C31" s="60" t="inlineStr">
        <is>
          <t>착공</t>
        </is>
      </c>
      <c r="D31" s="52" t="inlineStr">
        <is>
          <t>신정동 1335-7 일원 주상복합</t>
        </is>
      </c>
      <c r="E31" s="35" t="inlineStr">
        <is>
          <t>남구</t>
        </is>
      </c>
      <c r="F31" s="38" t="inlineStr">
        <is>
          <t>남구 신정동 1335-7 일원</t>
        </is>
      </c>
      <c r="G31" s="37" t="n">
        <v>123</v>
      </c>
      <c r="H31" s="71" t="inlineStr">
        <is>
          <t>2026.12.
→ 2028.10.</t>
        </is>
      </c>
      <c r="I31" s="72" t="n">
        <v>2028</v>
      </c>
      <c r="J31" s="81" t="n"/>
      <c r="K31" s="34" t="n">
        <v>0.14</v>
      </c>
      <c r="L31" s="37">
        <f>ROUNDDOWN(M31*25%,0)</f>
        <v/>
      </c>
      <c r="M31" s="37">
        <f>ROUNDDOWN(G31*K31,0)</f>
        <v/>
      </c>
      <c r="N31" s="97">
        <f>ROUND($G31*$K31/6,0)</f>
        <v/>
      </c>
      <c r="O31" s="97">
        <f>ROUND($G31*$K31/6,0)</f>
        <v/>
      </c>
      <c r="P31" s="97">
        <f>ROUND($G31*$K31/6,0)</f>
        <v/>
      </c>
      <c r="Q31" s="97">
        <f>ROUND($G31*$K31/6,0)</f>
        <v/>
      </c>
      <c r="R31" s="97">
        <f>ROUND($G31*$K31/6*50%,0)</f>
        <v/>
      </c>
      <c r="S31" s="97">
        <f>ROUND($G31*$K31/6*30%,0)</f>
        <v/>
      </c>
      <c r="T31" s="37" t="inlineStr">
        <is>
          <t>신정초 배치 가능</t>
        </is>
      </c>
      <c r="U31" s="0" t="n">
        <v>35.541845</v>
      </c>
      <c r="V31" s="0" t="n">
        <v>129.3058075</v>
      </c>
    </row>
    <row r="32" ht="40" customHeight="1" s="95">
      <c r="A32" s="60" t="n"/>
      <c r="B32" s="60" t="inlineStr">
        <is>
          <t>완료</t>
        </is>
      </c>
      <c r="C32" s="60" t="inlineStr">
        <is>
          <t>착공</t>
        </is>
      </c>
      <c r="D32" s="51" t="inlineStr">
        <is>
          <t>신정동 신세계 빌리브 리버런트</t>
        </is>
      </c>
      <c r="E32" s="20" t="inlineStr">
        <is>
          <t>남구</t>
        </is>
      </c>
      <c r="F32" s="16" t="inlineStr">
        <is>
          <t>남구 신정동 22-4번지 일원</t>
        </is>
      </c>
      <c r="G32" s="26" t="n">
        <v>311</v>
      </c>
      <c r="H32" s="58" t="inlineStr">
        <is>
          <t>2025.11.</t>
        </is>
      </c>
      <c r="I32" s="57" t="n">
        <v>2026</v>
      </c>
      <c r="J32" s="80" t="n"/>
      <c r="K32" s="20" t="n">
        <v>0.12</v>
      </c>
      <c r="L32" s="96">
        <f>ROUNDDOWN(M32*25%,0)</f>
        <v/>
      </c>
      <c r="M32" s="99">
        <f>ROUNDDOWN(G32*K32,0)</f>
        <v/>
      </c>
      <c r="N32" s="97">
        <f>ROUND($G32*$K32/6,0)</f>
        <v/>
      </c>
      <c r="O32" s="97">
        <f>ROUND($G32*$K32/6,0)</f>
        <v/>
      </c>
      <c r="P32" s="97">
        <f>ROUND($G32*$K32/6,0)</f>
        <v/>
      </c>
      <c r="Q32" s="97">
        <f>ROUND($G32*$K32/6,0)</f>
        <v/>
      </c>
      <c r="R32" s="97">
        <f>ROUND($G32*$K32/6*50%,0)</f>
        <v/>
      </c>
      <c r="S32" s="97">
        <f>ROUND($G32*$K32/6*30%,0)</f>
        <v/>
      </c>
      <c r="T32" s="20" t="inlineStr">
        <is>
          <t>월봉초 배치 가능</t>
        </is>
      </c>
      <c r="U32" s="0" t="n">
        <v>35.5482079</v>
      </c>
      <c r="V32" s="0" t="n">
        <v>129.3221524</v>
      </c>
    </row>
    <row r="33" ht="40" customHeight="1" s="95">
      <c r="A33" s="60" t="n"/>
      <c r="B33" s="60" t="n"/>
      <c r="C33" s="60" t="inlineStr">
        <is>
          <t>미착공</t>
        </is>
      </c>
      <c r="D33" s="52" t="inlineStr">
        <is>
          <t>신정동 527-5 일원 주상복합</t>
        </is>
      </c>
      <c r="E33" s="35" t="inlineStr">
        <is>
          <t>남구</t>
        </is>
      </c>
      <c r="F33" s="38" t="inlineStr">
        <is>
          <t>남구 신정동 527-5 일원</t>
        </is>
      </c>
      <c r="G33" s="26" t="n">
        <v>218</v>
      </c>
      <c r="H33" s="56" t="inlineStr">
        <is>
          <t>2027.12.</t>
        </is>
      </c>
      <c r="I33" s="70" t="inlineStr">
        <is>
          <t>2030
(지연예정)</t>
        </is>
      </c>
      <c r="J33" s="85" t="n"/>
      <c r="K33" s="20" t="n">
        <v>0.12</v>
      </c>
      <c r="L33" s="96">
        <f>ROUNDDOWN(M33*25%,0)</f>
        <v/>
      </c>
      <c r="M33" s="99">
        <f>ROUNDDOWN(G33*K33,0)</f>
        <v/>
      </c>
      <c r="N33" s="97">
        <f>ROUND($G33*$K33/6,0)</f>
        <v/>
      </c>
      <c r="O33" s="97">
        <f>ROUND($G33*$K33/6,0)</f>
        <v/>
      </c>
      <c r="P33" s="97">
        <f>ROUND($G33*$K33/6,0)</f>
        <v/>
      </c>
      <c r="Q33" s="97">
        <f>ROUND($G33*$K33/6,0)</f>
        <v/>
      </c>
      <c r="R33" s="97">
        <f>ROUND($G33*$K33/6*50%,0)</f>
        <v/>
      </c>
      <c r="S33" s="97">
        <f>ROUND($G33*$K33/6*30%,0)</f>
        <v/>
      </c>
      <c r="T33" s="37" t="inlineStr">
        <is>
          <t>중앙초 배치 가능</t>
        </is>
      </c>
      <c r="U33" s="0" t="n">
        <v>35.5448202</v>
      </c>
      <c r="V33" s="0" t="n">
        <v>129.3073217</v>
      </c>
    </row>
    <row r="34" ht="40" customHeight="1" s="95">
      <c r="A34" s="60" t="n"/>
      <c r="B34" s="60" t="n"/>
      <c r="C34" s="60" t="inlineStr">
        <is>
          <t>미착공</t>
        </is>
      </c>
      <c r="D34" s="48" t="inlineStr">
        <is>
          <t>신정동 533-5 일원 주상복합</t>
        </is>
      </c>
      <c r="E34" s="37" t="inlineStr">
        <is>
          <t>남구</t>
        </is>
      </c>
      <c r="F34" s="38" t="inlineStr">
        <is>
          <t>남구 신정동 533-5 일원</t>
        </is>
      </c>
      <c r="G34" s="98" t="n">
        <v>190</v>
      </c>
      <c r="H34" s="56" t="inlineStr">
        <is>
          <t>2023.11.~
2026.11.</t>
        </is>
      </c>
      <c r="I34" s="70" t="inlineStr">
        <is>
          <t>2030
(지연예정)</t>
        </is>
      </c>
      <c r="J34" s="85" t="n"/>
      <c r="K34" s="37" t="n">
        <v>0.12</v>
      </c>
      <c r="L34" s="96">
        <f>ROUNDDOWN(M34*25%,0)</f>
        <v/>
      </c>
      <c r="M34" s="99">
        <f>ROUNDDOWN(G34*K34,0)</f>
        <v/>
      </c>
      <c r="N34" s="97">
        <f>ROUND($G34*$K34/6,0)</f>
        <v/>
      </c>
      <c r="O34" s="97">
        <f>ROUND($G34*$K34/6,0)</f>
        <v/>
      </c>
      <c r="P34" s="97">
        <f>ROUND($G34*$K34/6,0)</f>
        <v/>
      </c>
      <c r="Q34" s="97">
        <f>ROUND($G34*$K34/6,0)</f>
        <v/>
      </c>
      <c r="R34" s="97">
        <f>ROUND($G34*$K34/6*50%,0)</f>
        <v/>
      </c>
      <c r="S34" s="97">
        <f>ROUND($G34*$K34/6*30%,0)</f>
        <v/>
      </c>
      <c r="T34" s="37" t="inlineStr">
        <is>
          <t>중앙초 배치 가능</t>
        </is>
      </c>
      <c r="U34" s="0" t="n">
        <v>35.5443864</v>
      </c>
      <c r="V34" s="0" t="n">
        <v>129.307748</v>
      </c>
    </row>
    <row r="35" ht="40" customHeight="1" s="95">
      <c r="A35" s="60" t="n"/>
      <c r="B35" s="60" t="n"/>
      <c r="C35" s="60" t="inlineStr">
        <is>
          <t>미착공</t>
        </is>
      </c>
      <c r="D35" s="52" t="inlineStr">
        <is>
          <t>신정동 576-17 일원 주상복합</t>
        </is>
      </c>
      <c r="E35" s="35" t="inlineStr">
        <is>
          <t>남구</t>
        </is>
      </c>
      <c r="F35" s="38" t="inlineStr">
        <is>
          <t>남구 신정동 576-17 일원</t>
        </is>
      </c>
      <c r="G35" s="26" t="n">
        <v>143</v>
      </c>
      <c r="H35" s="56" t="inlineStr">
        <is>
          <t>2027.7.
→ 2028.12.</t>
        </is>
      </c>
      <c r="I35" s="69" t="inlineStr">
        <is>
          <t>2029
(지연예정)</t>
        </is>
      </c>
      <c r="J35" s="84" t="n"/>
      <c r="K35" s="37" t="n">
        <v>0.21</v>
      </c>
      <c r="L35" s="37">
        <f>ROUNDDOWN(M35*25%,0)</f>
        <v/>
      </c>
      <c r="M35" s="37">
        <f>ROUNDDOWN(G35*K35,0)</f>
        <v/>
      </c>
      <c r="N35" s="97">
        <f>ROUND($G35*$K35/6,0)</f>
        <v/>
      </c>
      <c r="O35" s="97">
        <f>ROUND($G35*$K35/6,0)</f>
        <v/>
      </c>
      <c r="P35" s="97">
        <f>ROUND($G35*$K35/6,0)</f>
        <v/>
      </c>
      <c r="Q35" s="97">
        <f>ROUND($G35*$K35/6,0)</f>
        <v/>
      </c>
      <c r="R35" s="97">
        <f>ROUND($G35*$K35/6*50%,0)</f>
        <v/>
      </c>
      <c r="S35" s="97">
        <f>ROUND($G35*$K35/6*30%,0)</f>
        <v/>
      </c>
      <c r="T35" s="20" t="inlineStr">
        <is>
          <t>신정초 증축 후 배치</t>
        </is>
      </c>
      <c r="U35" s="0" t="n">
        <v>35.5418147</v>
      </c>
      <c r="V35" s="0" t="n">
        <v>129.3064418</v>
      </c>
    </row>
    <row r="36" ht="40" customHeight="1" s="95">
      <c r="A36" s="60" t="n"/>
      <c r="B36" s="60" t="n"/>
      <c r="C36" s="60" t="inlineStr">
        <is>
          <t>착공</t>
        </is>
      </c>
      <c r="D36" s="49" t="inlineStr">
        <is>
          <t>힐스테이트 문수로 센트럴</t>
        </is>
      </c>
      <c r="E36" s="20" t="inlineStr">
        <is>
          <t>남구</t>
        </is>
      </c>
      <c r="F36" s="27" t="inlineStr">
        <is>
          <t>남구 신정동 638-1 일원</t>
        </is>
      </c>
      <c r="G36" s="20" t="n">
        <v>566</v>
      </c>
      <c r="H36" s="67" t="inlineStr">
        <is>
          <t>2028.4.
→ 2028.6.</t>
        </is>
      </c>
      <c r="I36" s="57" t="n">
        <v>2028</v>
      </c>
      <c r="J36" s="80" t="n"/>
      <c r="K36" s="20" t="n">
        <v>0.21</v>
      </c>
      <c r="L36" s="96">
        <f>ROUNDDOWN(M36*25%,0)</f>
        <v/>
      </c>
      <c r="M36" s="96">
        <f>ROUNDDOWN(G36*K36,0)</f>
        <v/>
      </c>
      <c r="N36" s="97">
        <f>ROUND($G36*$K36/6,0)</f>
        <v/>
      </c>
      <c r="O36" s="97">
        <f>ROUND($G36*$K36/6,0)</f>
        <v/>
      </c>
      <c r="P36" s="97">
        <f>ROUND($G36*$K36/6,0)</f>
        <v/>
      </c>
      <c r="Q36" s="97">
        <f>ROUND($G36*$K36/6,0)</f>
        <v/>
      </c>
      <c r="R36" s="97">
        <f>ROUND($G36*$K36/6*50%,0)</f>
        <v/>
      </c>
      <c r="S36" s="97">
        <f>ROUND($G36*$K36/6*30%,0)</f>
        <v/>
      </c>
      <c r="T36" s="20" t="inlineStr">
        <is>
          <t>신정초 증축 후 배치</t>
        </is>
      </c>
      <c r="U36" s="0" t="n">
        <v>35.541413</v>
      </c>
      <c r="V36" s="0" t="n">
        <v>129.3076789</v>
      </c>
    </row>
    <row r="37" ht="40" customHeight="1" s="95">
      <c r="A37" s="60" t="n"/>
      <c r="B37" s="60" t="inlineStr">
        <is>
          <t>완료</t>
        </is>
      </c>
      <c r="C37" s="60" t="inlineStr">
        <is>
          <t>미착공</t>
        </is>
      </c>
      <c r="D37" s="49" t="inlineStr">
        <is>
          <t>신정동 673-1 일원 주상복합
(한국토지신탁)</t>
        </is>
      </c>
      <c r="E37" s="20" t="inlineStr">
        <is>
          <t>남구</t>
        </is>
      </c>
      <c r="F37" s="16" t="inlineStr">
        <is>
          <t>남구 신정동 673-1 일원</t>
        </is>
      </c>
      <c r="G37" s="26" t="n">
        <v>234</v>
      </c>
      <c r="H37" s="58" t="inlineStr">
        <is>
          <t>2026.12.</t>
        </is>
      </c>
      <c r="I37" s="57" t="inlineStr">
        <is>
          <t>2027
(지연예정)</t>
        </is>
      </c>
      <c r="J37" s="80" t="n"/>
      <c r="K37" s="20" t="n">
        <v>0.12</v>
      </c>
      <c r="L37" s="96">
        <f>ROUNDDOWN(M37*25%,0)</f>
        <v/>
      </c>
      <c r="M37" s="99">
        <f>ROUNDDOWN(G37*K37,0)</f>
        <v/>
      </c>
      <c r="N37" s="97">
        <f>ROUND($G37*$K37/6,0)</f>
        <v/>
      </c>
      <c r="O37" s="97">
        <f>ROUND($G37*$K37/6,0)</f>
        <v/>
      </c>
      <c r="P37" s="97">
        <f>ROUND($G37*$K37/6,0)</f>
        <v/>
      </c>
      <c r="Q37" s="97">
        <f>ROUND($G37*$K37/6,0)</f>
        <v/>
      </c>
      <c r="R37" s="97">
        <f>ROUND($G37*$K37/6*50%,0)</f>
        <v/>
      </c>
      <c r="S37" s="97">
        <f>ROUND($G37*$K37/6*30%,0)</f>
        <v/>
      </c>
      <c r="T37" s="20" t="inlineStr">
        <is>
          <t>월평초 배치 가능</t>
        </is>
      </c>
      <c r="U37" s="0" t="n">
        <v>35.5339003</v>
      </c>
      <c r="V37" s="0" t="n">
        <v>129.3100951</v>
      </c>
    </row>
    <row r="38" ht="40" customHeight="1" s="95">
      <c r="A38" s="60" t="n"/>
      <c r="B38" s="60" t="inlineStr">
        <is>
          <t>완료</t>
        </is>
      </c>
      <c r="C38" s="60" t="inlineStr">
        <is>
          <t>미착공</t>
        </is>
      </c>
      <c r="D38" s="48" t="inlineStr">
        <is>
          <t>신정동 698-1 일원 주상복합</t>
        </is>
      </c>
      <c r="E38" s="37" t="inlineStr">
        <is>
          <t>남구</t>
        </is>
      </c>
      <c r="F38" s="38" t="inlineStr">
        <is>
          <t>남구 신정동 698-1 일원</t>
        </is>
      </c>
      <c r="G38" s="100" t="n">
        <v>228</v>
      </c>
      <c r="H38" s="56" t="inlineStr">
        <is>
          <t>2028.4.
→ 2029.4.</t>
        </is>
      </c>
      <c r="I38" s="69" t="inlineStr">
        <is>
          <t>2029
(지연예정)</t>
        </is>
      </c>
      <c r="J38" s="84" t="n"/>
      <c r="K38" s="37" t="n">
        <v>0.21</v>
      </c>
      <c r="L38" s="96">
        <f>ROUNDDOWN(M38*25%,0)</f>
        <v/>
      </c>
      <c r="M38" s="99">
        <f>ROUNDDOWN(G38*K38,0)</f>
        <v/>
      </c>
      <c r="N38" s="97">
        <f>ROUND($G38*$K38/6,0)</f>
        <v/>
      </c>
      <c r="O38" s="97">
        <f>ROUND($G38*$K38/6,0)</f>
        <v/>
      </c>
      <c r="P38" s="97">
        <f>ROUND($G38*$K38/6,0)</f>
        <v/>
      </c>
      <c r="Q38" s="97">
        <f>ROUND($G38*$K38/6,0)</f>
        <v/>
      </c>
      <c r="R38" s="97">
        <f>ROUND($G38*$K38/6*50%,0)</f>
        <v/>
      </c>
      <c r="S38" s="97">
        <f>ROUND($G38*$K38/6*30%,0)</f>
        <v/>
      </c>
      <c r="T38" s="20" t="inlineStr">
        <is>
          <t>신정초 증축 후 배치</t>
        </is>
      </c>
      <c r="U38" s="0" t="n">
        <v>35.5376736</v>
      </c>
      <c r="V38" s="0" t="n">
        <v>129.3091754</v>
      </c>
    </row>
    <row r="39" ht="40" customHeight="1" s="95">
      <c r="A39" s="60" t="n"/>
      <c r="B39" s="60" t="n"/>
      <c r="C39" s="60" t="inlineStr">
        <is>
          <t>미착공</t>
        </is>
      </c>
      <c r="D39" s="49" t="inlineStr">
        <is>
          <t>신정동 704-4 일원 주상복합</t>
        </is>
      </c>
      <c r="E39" s="20" t="inlineStr">
        <is>
          <t>남구</t>
        </is>
      </c>
      <c r="F39" s="27" t="inlineStr">
        <is>
          <t>남구 신정동 704-4 일원</t>
        </is>
      </c>
      <c r="G39" s="20" t="n">
        <v>271</v>
      </c>
      <c r="H39" s="67" t="inlineStr">
        <is>
          <t>2027.12.
→ 2028.12.</t>
        </is>
      </c>
      <c r="I39" s="69" t="inlineStr">
        <is>
          <t>2029
(지연예정)</t>
        </is>
      </c>
      <c r="J39" s="84" t="n"/>
      <c r="K39" s="20" t="n">
        <v>0.21</v>
      </c>
      <c r="L39" s="96">
        <f>ROUNDDOWN(M39*25%,0)</f>
        <v/>
      </c>
      <c r="M39" s="96">
        <f>ROUNDDOWN(G39*K39,0)</f>
        <v/>
      </c>
      <c r="N39" s="97">
        <f>ROUND($G39*$K39/6,0)</f>
        <v/>
      </c>
      <c r="O39" s="97">
        <f>ROUND($G39*$K39/6,0)</f>
        <v/>
      </c>
      <c r="P39" s="97">
        <f>ROUND($G39*$K39/6,0)</f>
        <v/>
      </c>
      <c r="Q39" s="97">
        <f>ROUND($G39*$K39/6,0)</f>
        <v/>
      </c>
      <c r="R39" s="97">
        <f>ROUND($G39*$K39/6*50%,0)</f>
        <v/>
      </c>
      <c r="S39" s="97">
        <f>ROUND($G39*$K39/6*30%,0)</f>
        <v/>
      </c>
      <c r="T39" s="20" t="inlineStr">
        <is>
          <t>신정초 증축 후 배치</t>
        </is>
      </c>
      <c r="U39" s="0" t="n">
        <v>35.5380764</v>
      </c>
      <c r="V39" s="0" t="n">
        <v>129.3087224</v>
      </c>
    </row>
    <row r="40" ht="40" customHeight="1" s="95">
      <c r="A40" s="60" t="n"/>
      <c r="B40" s="60" t="n"/>
      <c r="C40" s="60" t="inlineStr">
        <is>
          <t>착공</t>
        </is>
      </c>
      <c r="D40" s="49" t="inlineStr">
        <is>
          <t>남구B-08재개발
(라엘에스)</t>
        </is>
      </c>
      <c r="E40" s="20" t="inlineStr">
        <is>
          <t>남구</t>
        </is>
      </c>
      <c r="F40" s="16" t="inlineStr">
        <is>
          <t>남구 신정동 901-3 일원</t>
        </is>
      </c>
      <c r="G40" s="26" t="n">
        <v>1929</v>
      </c>
      <c r="H40" s="58" t="inlineStr">
        <is>
          <t>2028.2.</t>
        </is>
      </c>
      <c r="I40" s="57" t="n">
        <v>2028</v>
      </c>
      <c r="J40" s="80" t="n"/>
      <c r="K40" s="20" t="n">
        <v>0.18</v>
      </c>
      <c r="L40" s="96">
        <f>ROUNDDOWN(M40*25%,0)</f>
        <v/>
      </c>
      <c r="M40" s="99">
        <f>ROUNDDOWN(G40*K40,0)</f>
        <v/>
      </c>
      <c r="N40" s="97">
        <f>ROUND($G40*$K40/6,0)</f>
        <v/>
      </c>
      <c r="O40" s="97">
        <f>ROUND($G40*$K40/6,0)</f>
        <v/>
      </c>
      <c r="P40" s="97">
        <f>ROUND($G40*$K40/6,0)</f>
        <v/>
      </c>
      <c r="Q40" s="97">
        <f>ROUND($G40*$K40/6,0)</f>
        <v/>
      </c>
      <c r="R40" s="97">
        <f>ROUND($G40*$K40/6*50%,0)</f>
        <v/>
      </c>
      <c r="S40" s="97">
        <f>ROUND($G40*$K40/6*30%,0)</f>
        <v/>
      </c>
      <c r="T40" s="20" t="inlineStr">
        <is>
          <t>월평초/수암초</t>
        </is>
      </c>
      <c r="U40" s="0" t="n">
        <v>35.5269272</v>
      </c>
      <c r="V40" s="0" t="n">
        <v>129.3116215</v>
      </c>
    </row>
    <row r="41" ht="40" customHeight="1" s="95">
      <c r="A41" s="60" t="n"/>
      <c r="B41" s="60" t="n"/>
      <c r="C41" s="60" t="inlineStr">
        <is>
          <t>미착공</t>
        </is>
      </c>
      <c r="D41" s="49" t="inlineStr">
        <is>
          <t>남구B-14재개발
(야음동 에일린의뜰)</t>
        </is>
      </c>
      <c r="E41" s="20" t="inlineStr">
        <is>
          <t>남구</t>
        </is>
      </c>
      <c r="F41" s="16" t="inlineStr">
        <is>
          <t>남구 야음동 350-5 일원</t>
        </is>
      </c>
      <c r="G41" s="26" t="n">
        <v>1529</v>
      </c>
      <c r="H41" s="58" t="inlineStr">
        <is>
          <t>2028.12.이후</t>
        </is>
      </c>
      <c r="I41" s="70" t="inlineStr">
        <is>
          <t>지연예정</t>
        </is>
      </c>
      <c r="J41" s="70" t="n">
        <v>2028</v>
      </c>
      <c r="K41" s="20" t="n">
        <v>0.17</v>
      </c>
      <c r="L41" s="96">
        <f>ROUNDDOWN(M41*25%,0)</f>
        <v/>
      </c>
      <c r="M41" s="99">
        <f>ROUNDDOWN(G41*K41,0)</f>
        <v/>
      </c>
      <c r="N41" s="97">
        <f>ROUND($G41*$K41/6,0)</f>
        <v/>
      </c>
      <c r="O41" s="97">
        <f>ROUND($G41*$K41/6,0)</f>
        <v/>
      </c>
      <c r="P41" s="97">
        <f>ROUND($G41*$K41/6,0)</f>
        <v/>
      </c>
      <c r="Q41" s="97">
        <f>ROUND($G41*$K41/6,0)</f>
        <v/>
      </c>
      <c r="R41" s="97">
        <f>ROUND($G41*$K41/6*50%,0)</f>
        <v/>
      </c>
      <c r="S41" s="97">
        <f>ROUND($G41*$K41/6*30%,0)</f>
        <v/>
      </c>
      <c r="T41" s="20" t="inlineStr">
        <is>
          <t>선암초 증축(6실)</t>
        </is>
      </c>
      <c r="U41" s="0" t="n">
        <v>35.519164</v>
      </c>
      <c r="V41" s="0" t="n">
        <v>129.3384127</v>
      </c>
    </row>
    <row r="42" ht="40" customHeight="1" s="95">
      <c r="A42" s="60" t="n"/>
      <c r="B42" s="60" t="n"/>
      <c r="C42" s="60" t="inlineStr">
        <is>
          <t>착공(24.7.)</t>
        </is>
      </c>
      <c r="D42" s="49" t="inlineStr">
        <is>
          <t>번영로 하늘채 라크뷰</t>
        </is>
      </c>
      <c r="E42" s="20" t="inlineStr">
        <is>
          <t>남구</t>
        </is>
      </c>
      <c r="F42" s="16" t="inlineStr">
        <is>
          <t>남구 야음동 363-1 일원</t>
        </is>
      </c>
      <c r="G42" s="20" t="n">
        <v>805</v>
      </c>
      <c r="H42" s="58" t="n">
        <v>2028.4</v>
      </c>
      <c r="I42" s="57" t="n">
        <v>2028</v>
      </c>
      <c r="J42" s="57" t="n"/>
      <c r="K42" s="20" t="n">
        <v>0.15</v>
      </c>
      <c r="L42" s="96">
        <f>ROUNDDOWN(M42*25%,0)</f>
        <v/>
      </c>
      <c r="M42" s="99">
        <f>ROUNDDOWN(G42*K42,0)</f>
        <v/>
      </c>
      <c r="N42" s="97">
        <f>ROUND($G42*$K42/6,0)</f>
        <v/>
      </c>
      <c r="O42" s="97">
        <f>ROUND($G42*$K42/6,0)</f>
        <v/>
      </c>
      <c r="P42" s="97">
        <f>ROUND($G42*$K42/6,0)</f>
        <v/>
      </c>
      <c r="Q42" s="97">
        <f>ROUND($G42*$K42/6,0)</f>
        <v/>
      </c>
      <c r="R42" s="97">
        <f>ROUND($G42*$K42/6*50%,0)</f>
        <v/>
      </c>
      <c r="S42" s="97">
        <f>ROUND($G42*$K42/6*30%,0)</f>
        <v/>
      </c>
      <c r="T42" s="20" t="inlineStr">
        <is>
          <t>야음초 배치 불가(선암초)</t>
        </is>
      </c>
      <c r="U42" s="0" t="n">
        <v>35.5184937</v>
      </c>
      <c r="V42" s="0" t="n">
        <v>129.3373819</v>
      </c>
    </row>
    <row r="43" ht="40" customHeight="1" s="95">
      <c r="A43" s="60" t="n"/>
      <c r="B43" s="60" t="n"/>
      <c r="C43" s="60" t="inlineStr">
        <is>
          <t>미착공</t>
        </is>
      </c>
      <c r="D43" s="48" t="inlineStr">
        <is>
          <t>야음동 368-3 일원 공동주택</t>
        </is>
      </c>
      <c r="E43" s="37" t="inlineStr">
        <is>
          <t>남구</t>
        </is>
      </c>
      <c r="F43" s="38" t="inlineStr">
        <is>
          <t>남구 야음동 368-3번지 일원</t>
        </is>
      </c>
      <c r="G43" s="98" t="n">
        <v>244</v>
      </c>
      <c r="H43" s="56" t="inlineStr">
        <is>
          <t>2024.11.~
2028.3.이후</t>
        </is>
      </c>
      <c r="I43" s="70" t="inlineStr">
        <is>
          <t>지연예정</t>
        </is>
      </c>
      <c r="J43" s="70" t="n">
        <v>2028</v>
      </c>
      <c r="K43" s="37" t="n">
        <v>0.15</v>
      </c>
      <c r="L43" s="96">
        <f>ROUNDDOWN(M43*25%,0)</f>
        <v/>
      </c>
      <c r="M43" s="99">
        <f>ROUNDDOWN(G43*K43,0)</f>
        <v/>
      </c>
      <c r="N43" s="97">
        <f>ROUND($G43*$K43/6,0)</f>
        <v/>
      </c>
      <c r="O43" s="97">
        <f>ROUND($G43*$K43/6,0)</f>
        <v/>
      </c>
      <c r="P43" s="97">
        <f>ROUND($G43*$K43/6,0)</f>
        <v/>
      </c>
      <c r="Q43" s="97">
        <f>ROUND($G43*$K43/6,0)</f>
        <v/>
      </c>
      <c r="R43" s="97">
        <f>ROUND($G43*$K43/6*50%,0)</f>
        <v/>
      </c>
      <c r="S43" s="97">
        <f>ROUND($G43*$K43/6*30%,0)</f>
        <v/>
      </c>
      <c r="T43" s="37" t="inlineStr">
        <is>
          <t>여천초 배치 불가(선암초)</t>
        </is>
      </c>
      <c r="U43" s="0" t="n">
        <v>35.520291</v>
      </c>
      <c r="V43" s="0" t="n">
        <v>129.3374365</v>
      </c>
    </row>
    <row r="44" ht="40" customHeight="1" s="95">
      <c r="A44" s="60" t="n"/>
      <c r="B44" s="60" t="inlineStr">
        <is>
          <t>완료</t>
        </is>
      </c>
      <c r="C44" s="53" t="inlineStr">
        <is>
          <t>공사중지
분양중지</t>
        </is>
      </c>
      <c r="D44" s="51" t="inlineStr">
        <is>
          <t>울산 호수공원 에일린의 뜰</t>
        </is>
      </c>
      <c r="E44" s="20" t="inlineStr">
        <is>
          <t>남구</t>
        </is>
      </c>
      <c r="F44" s="16" t="inlineStr">
        <is>
          <t>남구 야음동 389-49번지 일원</t>
        </is>
      </c>
      <c r="G44" s="26" t="n">
        <v>520</v>
      </c>
      <c r="H44" s="58" t="inlineStr">
        <is>
          <t>2028 이후</t>
        </is>
      </c>
      <c r="I44" s="57" t="n">
        <v>2028</v>
      </c>
      <c r="J44" s="57" t="n"/>
      <c r="K44" s="20" t="n">
        <v>0.18</v>
      </c>
      <c r="L44" s="96">
        <f>ROUNDDOWN(M44*25%,0)</f>
        <v/>
      </c>
      <c r="M44" s="99">
        <f>ROUNDDOWN(G44*K44,0)</f>
        <v/>
      </c>
      <c r="N44" s="97">
        <f>ROUND($G44*$K44/6,0)</f>
        <v/>
      </c>
      <c r="O44" s="97">
        <f>ROUND($G44*$K44/6,0)</f>
        <v/>
      </c>
      <c r="P44" s="97">
        <f>ROUND($G44*$K44/6,0)</f>
        <v/>
      </c>
      <c r="Q44" s="97">
        <f>ROUND($G44*$K44/6,0)</f>
        <v/>
      </c>
      <c r="R44" s="97">
        <f>ROUND($G44*$K44/6*50%,0)</f>
        <v/>
      </c>
      <c r="S44" s="97">
        <f>ROUND($G44*$K44/6*30%,0)</f>
        <v/>
      </c>
      <c r="T44" s="20" t="inlineStr">
        <is>
          <t>야음초 배치 가능</t>
        </is>
      </c>
      <c r="U44" s="0" t="n">
        <v>35.5209408</v>
      </c>
      <c r="V44" s="0" t="n">
        <v>129.3335842</v>
      </c>
    </row>
    <row r="45" ht="40" customHeight="1" s="95">
      <c r="A45" s="60" t="n"/>
      <c r="B45" s="60" t="n"/>
      <c r="C45" s="60" t="inlineStr">
        <is>
          <t>미착공</t>
        </is>
      </c>
      <c r="D45" s="48" t="inlineStr">
        <is>
          <t>야음동 459-1 일원 주상복합</t>
        </is>
      </c>
      <c r="E45" s="35" t="inlineStr">
        <is>
          <t>남구</t>
        </is>
      </c>
      <c r="F45" s="38" t="inlineStr">
        <is>
          <t>남구 야음동 459-1 일원</t>
        </is>
      </c>
      <c r="G45" s="26" t="n">
        <v>422</v>
      </c>
      <c r="H45" s="56" t="inlineStr">
        <is>
          <t>2023.10.31.~
2027.7.이후</t>
        </is>
      </c>
      <c r="I45" s="70" t="inlineStr">
        <is>
          <t>지연예정</t>
        </is>
      </c>
      <c r="J45" s="70" t="n">
        <v>2028</v>
      </c>
      <c r="K45" s="37" t="n">
        <v>0.09</v>
      </c>
      <c r="L45" s="96">
        <f>ROUNDDOWN(M45*25%,0)</f>
        <v/>
      </c>
      <c r="M45" s="99">
        <f>ROUNDDOWN(G45*K45,0)</f>
        <v/>
      </c>
      <c r="N45" s="97">
        <f>ROUND($G45*$K45/6,0)</f>
        <v/>
      </c>
      <c r="O45" s="97">
        <f>ROUND($G45*$K45/6,0)</f>
        <v/>
      </c>
      <c r="P45" s="97">
        <f>ROUND($G45*$K45/6,0)</f>
        <v/>
      </c>
      <c r="Q45" s="97">
        <f>ROUND($G45*$K45/6,0)</f>
        <v/>
      </c>
      <c r="R45" s="97">
        <f>ROUND($G45*$K45/6*50%,0)</f>
        <v/>
      </c>
      <c r="S45" s="97">
        <f>ROUND($G45*$K45/6*30%,0)</f>
        <v/>
      </c>
      <c r="T45" s="37" t="inlineStr">
        <is>
          <t>여천초 배치 가능</t>
        </is>
      </c>
      <c r="U45" s="0" t="n">
        <v>35.5251493</v>
      </c>
      <c r="V45" s="0" t="n">
        <v>129.3319504</v>
      </c>
    </row>
    <row r="46" ht="40" customHeight="1" s="95">
      <c r="A46" s="60" t="n"/>
      <c r="B46" s="60" t="n"/>
      <c r="C46" s="60" t="inlineStr">
        <is>
          <t>미착공</t>
        </is>
      </c>
      <c r="D46" s="48" t="inlineStr">
        <is>
          <t>야음동 811-23 일원 주상복합</t>
        </is>
      </c>
      <c r="E46" s="35" t="inlineStr">
        <is>
          <t>남구</t>
        </is>
      </c>
      <c r="F46" s="38" t="inlineStr">
        <is>
          <t>남구 야음동 811-23 일원</t>
        </is>
      </c>
      <c r="G46" s="26" t="n">
        <v>354</v>
      </c>
      <c r="H46" s="56" t="inlineStr">
        <is>
          <t>2023.5.~
2027.2이후</t>
        </is>
      </c>
      <c r="I46" s="70" t="inlineStr">
        <is>
          <t>지연예정</t>
        </is>
      </c>
      <c r="J46" s="70" t="n">
        <v>2028</v>
      </c>
      <c r="K46" s="37" t="n">
        <v>0.09</v>
      </c>
      <c r="L46" s="96">
        <f>ROUNDDOWN(M46*25%,0)</f>
        <v/>
      </c>
      <c r="M46" s="99">
        <f>ROUNDDOWN(G46*K46,0)</f>
        <v/>
      </c>
      <c r="N46" s="97">
        <f>ROUND($G46*$K46/6,0)</f>
        <v/>
      </c>
      <c r="O46" s="97">
        <f>ROUND($G46*$K46/6,0)</f>
        <v/>
      </c>
      <c r="P46" s="97">
        <f>ROUND($G46*$K46/6,0)</f>
        <v/>
      </c>
      <c r="Q46" s="97">
        <f>ROUND($G46*$K46/6,0)</f>
        <v/>
      </c>
      <c r="R46" s="97">
        <f>ROUND($G46*$K46/6*50%,0)</f>
        <v/>
      </c>
      <c r="S46" s="97">
        <f>ROUND($G46*$K46/6*30%,0)</f>
        <v/>
      </c>
      <c r="T46" s="37" t="inlineStr">
        <is>
          <t>여천초 배치 가능</t>
        </is>
      </c>
      <c r="U46" s="0" t="n">
        <v>35.5253013</v>
      </c>
      <c r="V46" s="0" t="n">
        <v>129.3307752</v>
      </c>
    </row>
    <row r="47" ht="40" customHeight="1" s="95">
      <c r="A47" s="60" t="n"/>
      <c r="B47" s="60" t="inlineStr">
        <is>
          <t>완료</t>
        </is>
      </c>
      <c r="C47" s="60" t="inlineStr">
        <is>
          <t>착공</t>
        </is>
      </c>
      <c r="D47" s="51" t="inlineStr">
        <is>
          <t>e편한세상번영로 리더스포레</t>
        </is>
      </c>
      <c r="E47" s="20" t="inlineStr">
        <is>
          <t>남구</t>
        </is>
      </c>
      <c r="F47" s="16" t="inlineStr">
        <is>
          <t>남구 야음동 828-9 일원</t>
        </is>
      </c>
      <c r="G47" s="26" t="n">
        <v>255</v>
      </c>
      <c r="H47" s="58" t="inlineStr">
        <is>
          <t>2026.11.</t>
        </is>
      </c>
      <c r="I47" s="57" t="n">
        <v>2026</v>
      </c>
      <c r="J47" s="57" t="n"/>
      <c r="K47" s="20" t="n">
        <v>0.15</v>
      </c>
      <c r="L47" s="96">
        <f>ROUNDDOWN(M47*25%,0)</f>
        <v/>
      </c>
      <c r="M47" s="99">
        <f>ROUNDDOWN(G47*K47,0)</f>
        <v/>
      </c>
      <c r="N47" s="97">
        <f>ROUND($G47*$K47/6,0)</f>
        <v/>
      </c>
      <c r="O47" s="97">
        <f>ROUND($G47*$K47/6,0)</f>
        <v/>
      </c>
      <c r="P47" s="97">
        <f>ROUND($G47*$K47/6,0)</f>
        <v/>
      </c>
      <c r="Q47" s="97">
        <f>ROUND($G47*$K47/6,0)</f>
        <v/>
      </c>
      <c r="R47" s="97">
        <f>ROUND($G47*$K47/6*50%,0)</f>
        <v/>
      </c>
      <c r="S47" s="97">
        <f>ROUND($G47*$K47/6*30%,0)</f>
        <v/>
      </c>
      <c r="T47" s="20" t="inlineStr">
        <is>
          <t>야음초 배치 가능</t>
        </is>
      </c>
      <c r="U47" s="0" t="n">
        <v>35.5230778</v>
      </c>
      <c r="V47" s="0" t="n">
        <v>129.3305629</v>
      </c>
    </row>
    <row r="48" ht="40" customHeight="1" s="95">
      <c r="A48" s="60" t="n"/>
      <c r="B48" s="60" t="inlineStr">
        <is>
          <t>완료</t>
        </is>
      </c>
      <c r="C48" s="60" t="inlineStr">
        <is>
          <t>착공</t>
        </is>
      </c>
      <c r="D48" s="52" t="inlineStr">
        <is>
          <t>야음동 829-20 일원 주상복합</t>
        </is>
      </c>
      <c r="E48" s="35" t="inlineStr">
        <is>
          <t>남구</t>
        </is>
      </c>
      <c r="F48" s="38" t="inlineStr">
        <is>
          <t>남구 야음동 829-20 일원</t>
        </is>
      </c>
      <c r="G48" s="35" t="n">
        <v>229</v>
      </c>
      <c r="H48" s="54" t="inlineStr">
        <is>
          <t>2028.4.</t>
        </is>
      </c>
      <c r="I48" s="55" t="n">
        <v>2028</v>
      </c>
      <c r="J48" s="55" t="n"/>
      <c r="K48" s="37" t="n">
        <v>0.15</v>
      </c>
      <c r="L48" s="37">
        <f>ROUNDDOWN(M48*25%,0)</f>
        <v/>
      </c>
      <c r="M48" s="37" t="n">
        <v>35</v>
      </c>
      <c r="N48" s="97">
        <f>ROUND($G48*$K48/6,0)</f>
        <v/>
      </c>
      <c r="O48" s="97">
        <f>ROUND($G48*$K48/6,0)</f>
        <v/>
      </c>
      <c r="P48" s="97">
        <f>ROUND($G48*$K48/6,0)</f>
        <v/>
      </c>
      <c r="Q48" s="97">
        <f>ROUND($G48*$K48/6,0)</f>
        <v/>
      </c>
      <c r="R48" s="97">
        <f>ROUND($G48*$K48/6*50%,0)</f>
        <v/>
      </c>
      <c r="S48" s="97">
        <f>ROUND($G48*$K48/6*30%,0)</f>
        <v/>
      </c>
      <c r="T48" s="40" t="inlineStr">
        <is>
          <t>야음초 배치 불가(용연초)</t>
        </is>
      </c>
      <c r="U48" s="0" t="n">
        <v>35.5232994</v>
      </c>
      <c r="V48" s="0" t="n">
        <v>129.3299208</v>
      </c>
    </row>
    <row r="49" ht="40" customHeight="1" s="95">
      <c r="A49" s="60" t="n"/>
      <c r="B49" s="60" t="n"/>
      <c r="C49" s="60" t="inlineStr">
        <is>
          <t>착공</t>
        </is>
      </c>
      <c r="D49" s="52" t="inlineStr">
        <is>
          <t>힐스테이트 선암공원 아파트</t>
        </is>
      </c>
      <c r="E49" s="35" t="inlineStr">
        <is>
          <t>남구</t>
        </is>
      </c>
      <c r="F49" s="38" t="inlineStr">
        <is>
          <t>남구 야음동 830-1 일원</t>
        </is>
      </c>
      <c r="G49" s="35" t="n">
        <v>526</v>
      </c>
      <c r="H49" s="56" t="inlineStr">
        <is>
          <t>2028.4.</t>
        </is>
      </c>
      <c r="I49" s="70" t="n">
        <v>2028</v>
      </c>
      <c r="J49" s="70" t="n"/>
      <c r="K49" s="37" t="n">
        <v>0.15</v>
      </c>
      <c r="L49" s="37">
        <f>ROUNDDOWN(M49*25%,0)</f>
        <v/>
      </c>
      <c r="M49" s="37">
        <f>ROUNDDOWN(G49*K49,0)</f>
        <v/>
      </c>
      <c r="N49" s="97">
        <f>ROUND($G49*$K49/6,0)</f>
        <v/>
      </c>
      <c r="O49" s="97">
        <f>ROUND($G49*$K49/6,0)</f>
        <v/>
      </c>
      <c r="P49" s="97">
        <f>ROUND($G49*$K49/6,0)</f>
        <v/>
      </c>
      <c r="Q49" s="97">
        <f>ROUND($G49*$K49/6,0)</f>
        <v/>
      </c>
      <c r="R49" s="97">
        <f>ROUND($G49*$K49/6*50%,0)</f>
        <v/>
      </c>
      <c r="S49" s="97">
        <f>ROUND($G49*$K49/6*30%,0)</f>
        <v/>
      </c>
      <c r="T49" s="40" t="inlineStr">
        <is>
          <t>야음초 배치 불가(용연초)</t>
        </is>
      </c>
      <c r="U49" s="0" t="n">
        <v>35.5242218</v>
      </c>
      <c r="V49" s="0" t="n">
        <v>129.3303777</v>
      </c>
    </row>
    <row r="50" ht="40" customHeight="1" s="95">
      <c r="A50" s="60" t="n"/>
      <c r="B50" s="60" t="n"/>
      <c r="C50" s="60" t="inlineStr">
        <is>
          <t>미착공</t>
        </is>
      </c>
      <c r="D50" s="52" t="inlineStr">
        <is>
          <t>야음동 831-4 일원 주상복합</t>
        </is>
      </c>
      <c r="E50" s="35" t="inlineStr">
        <is>
          <t>남구</t>
        </is>
      </c>
      <c r="F50" s="38" t="inlineStr">
        <is>
          <t>남구 야음동 831-4 일원</t>
        </is>
      </c>
      <c r="G50" s="26" t="n">
        <v>369</v>
      </c>
      <c r="H50" s="73" t="inlineStr">
        <is>
          <t>2022.12.~
2026.2.이후</t>
        </is>
      </c>
      <c r="I50" s="70" t="inlineStr">
        <is>
          <t>2028
(지연예정)</t>
        </is>
      </c>
      <c r="J50" s="70" t="n"/>
      <c r="K50" s="20" t="n">
        <v>0.15</v>
      </c>
      <c r="L50" s="96">
        <f>ROUNDDOWN(M50*25%,0)</f>
        <v/>
      </c>
      <c r="M50" s="99">
        <f>ROUNDDOWN(G50*K50,0)</f>
        <v/>
      </c>
      <c r="N50" s="97">
        <f>ROUND($G50*$K50/6,0)</f>
        <v/>
      </c>
      <c r="O50" s="97">
        <f>ROUND($G50*$K50/6,0)</f>
        <v/>
      </c>
      <c r="P50" s="97">
        <f>ROUND($G50*$K50/6,0)</f>
        <v/>
      </c>
      <c r="Q50" s="97">
        <f>ROUND($G50*$K50/6,0)</f>
        <v/>
      </c>
      <c r="R50" s="97">
        <f>ROUND($G50*$K50/6*50%,0)</f>
        <v/>
      </c>
      <c r="S50" s="97">
        <f>ROUND($G50*$K50/6*30%,0)</f>
        <v/>
      </c>
      <c r="T50" s="37" t="inlineStr">
        <is>
          <t>야음초 배치 불가(용연초)</t>
        </is>
      </c>
      <c r="U50" s="0" t="n">
        <v>35.5249053</v>
      </c>
      <c r="V50" s="0" t="n">
        <v>129.3302838</v>
      </c>
    </row>
    <row r="51" ht="40" customHeight="1" s="95">
      <c r="A51" s="60" t="inlineStr">
        <is>
          <t>옥동중 17m</t>
        </is>
      </c>
      <c r="B51" s="60" t="n"/>
      <c r="C51" s="60" t="inlineStr">
        <is>
          <t>착공</t>
        </is>
      </c>
      <c r="D51" s="87" t="inlineStr">
        <is>
          <t>옥동 경남아너스빌 주상복합(울산방송)</t>
        </is>
      </c>
      <c r="E51" s="35" t="inlineStr">
        <is>
          <t>남구</t>
        </is>
      </c>
      <c r="F51" s="38" t="inlineStr">
        <is>
          <t xml:space="preserve">남구 옥동 651-2 일원 </t>
        </is>
      </c>
      <c r="G51" s="37" t="n">
        <v>320</v>
      </c>
      <c r="H51" s="54" t="inlineStr">
        <is>
          <t>2026.7.</t>
        </is>
      </c>
      <c r="I51" s="55" t="n">
        <v>2026</v>
      </c>
      <c r="J51" s="55" t="n"/>
      <c r="K51" s="37" t="n">
        <v>0.1</v>
      </c>
      <c r="L51" s="37">
        <f>ROUNDDOWN(M51*25%,0)</f>
        <v/>
      </c>
      <c r="M51" s="37">
        <f>ROUNDDOWN(G51*K51,0)</f>
        <v/>
      </c>
      <c r="N51" s="97">
        <f>ROUND($G51*$K51/6,0)</f>
        <v/>
      </c>
      <c r="O51" s="97">
        <f>ROUND($G51*$K51/6,0)</f>
        <v/>
      </c>
      <c r="P51" s="97">
        <f>ROUND($G51*$K51/6,0)</f>
        <v/>
      </c>
      <c r="Q51" s="97">
        <f>ROUND($G51*$K51/6,0)</f>
        <v/>
      </c>
      <c r="R51" s="97">
        <f>ROUND($G51*$K51/6*50%,0)</f>
        <v/>
      </c>
      <c r="S51" s="97">
        <f>ROUND($G51*$K51/6*30%,0)</f>
        <v/>
      </c>
      <c r="T51" s="37" t="inlineStr">
        <is>
          <t>옥서초 배치 가능</t>
        </is>
      </c>
      <c r="U51" s="0" t="n">
        <v>35.5368427</v>
      </c>
      <c r="V51" s="0" t="n">
        <v>129.2821107</v>
      </c>
    </row>
    <row r="52" ht="40" customHeight="1" s="95">
      <c r="A52" s="60" t="n"/>
      <c r="B52" s="61" t="inlineStr">
        <is>
          <t>완료</t>
        </is>
      </c>
      <c r="C52" s="61" t="n"/>
      <c r="D52" s="51" t="inlineStr">
        <is>
          <t>울산 다운2지구 A-10BL (공공)</t>
        </is>
      </c>
      <c r="E52" s="20" t="inlineStr">
        <is>
          <t>울주군</t>
        </is>
      </c>
      <c r="F52" s="27" t="inlineStr">
        <is>
          <t>다운2지구 A-10BL(울주군)</t>
        </is>
      </c>
      <c r="G52" s="26" t="n">
        <v>580</v>
      </c>
      <c r="H52" s="58" t="inlineStr">
        <is>
          <t>2028.2.</t>
        </is>
      </c>
      <c r="I52" s="57" t="n">
        <v>2028</v>
      </c>
      <c r="J52" s="57" t="n"/>
      <c r="K52" s="101" t="n">
        <v>0.176</v>
      </c>
      <c r="L52" s="96">
        <f>ROUNDDOWN(M52*25%,0)</f>
        <v/>
      </c>
      <c r="M52" s="99">
        <f>ROUNDDOWN(G52*K52,0)</f>
        <v/>
      </c>
      <c r="N52" s="97">
        <f>ROUND($G52*$K52/6,0)</f>
        <v/>
      </c>
      <c r="O52" s="97">
        <f>ROUND($G52*$K52/6,0)</f>
        <v/>
      </c>
      <c r="P52" s="97">
        <f>ROUND($G52*$K52/6,0)</f>
        <v/>
      </c>
      <c r="Q52" s="97">
        <f>ROUND($G52*$K52/6,0)</f>
        <v/>
      </c>
      <c r="R52" s="97">
        <f>ROUND($G52*$K52/6*50%,0)</f>
        <v/>
      </c>
      <c r="S52" s="97">
        <f>ROUND($G52*$K52/6*30%,0)</f>
        <v/>
      </c>
      <c r="T52" s="20" t="inlineStr">
        <is>
          <t>(가칭)서사초 배치</t>
        </is>
      </c>
      <c r="U52" s="0" t="n">
        <v>35.59205</v>
      </c>
      <c r="V52" s="0" t="n">
        <v>129.2741</v>
      </c>
    </row>
    <row r="53" ht="40" customHeight="1" s="95">
      <c r="A53" s="60" t="n"/>
      <c r="B53" s="61" t="n"/>
      <c r="C53" s="61" t="n"/>
      <c r="D53" s="51" t="inlineStr">
        <is>
          <t>울산 다운2지구 A-10BL (임대)</t>
        </is>
      </c>
      <c r="E53" s="20" t="inlineStr">
        <is>
          <t>울주군</t>
        </is>
      </c>
      <c r="F53" s="27" t="inlineStr">
        <is>
          <t>다운2지구 A-10BL(울주군)</t>
        </is>
      </c>
      <c r="G53" s="26" t="n">
        <v>293</v>
      </c>
      <c r="H53" s="58" t="inlineStr">
        <is>
          <t>2028.2.</t>
        </is>
      </c>
      <c r="I53" s="57" t="n">
        <v>2028</v>
      </c>
      <c r="J53" s="57" t="n"/>
      <c r="K53" s="32" t="n">
        <v>0.1</v>
      </c>
      <c r="L53" s="96">
        <f>ROUNDDOWN(M53*25%,0)</f>
        <v/>
      </c>
      <c r="M53" s="99">
        <f>ROUNDDOWN(G53*K53,0)</f>
        <v/>
      </c>
      <c r="N53" s="97">
        <f>ROUND($G53*$K53/6,0)</f>
        <v/>
      </c>
      <c r="O53" s="97">
        <f>ROUND($G53*$K53/6,0)</f>
        <v/>
      </c>
      <c r="P53" s="97">
        <f>ROUND($G53*$K53/6,0)</f>
        <v/>
      </c>
      <c r="Q53" s="97">
        <f>ROUND($G53*$K53/6,0)</f>
        <v/>
      </c>
      <c r="R53" s="97">
        <f>ROUND($G53*$K53/6*50%,0)</f>
        <v/>
      </c>
      <c r="S53" s="97">
        <f>ROUND($G53*$K53/6*30%,0)</f>
        <v/>
      </c>
      <c r="T53" s="20" t="inlineStr">
        <is>
          <t>(가칭)서사초 배치</t>
        </is>
      </c>
      <c r="U53" s="0" t="n">
        <v>35.59205</v>
      </c>
      <c r="V53" s="0" t="n">
        <v>129.2741</v>
      </c>
    </row>
    <row r="54" ht="40" customHeight="1" s="95">
      <c r="A54" s="60" t="n"/>
      <c r="B54" s="60" t="n"/>
      <c r="C54" s="60" t="n"/>
      <c r="D54" s="51" t="inlineStr">
        <is>
          <t>울산 다운2지구 A-1BL(고령자)</t>
        </is>
      </c>
      <c r="E54" s="20" t="inlineStr">
        <is>
          <t>울주군</t>
        </is>
      </c>
      <c r="F54" s="16" t="inlineStr">
        <is>
          <t>다운2지구 A-1BL(울주군)</t>
        </is>
      </c>
      <c r="G54" s="26" t="n">
        <v>148</v>
      </c>
      <c r="H54" s="58" t="inlineStr">
        <is>
          <t>2028.2.</t>
        </is>
      </c>
      <c r="I54" s="57" t="n">
        <v>2028</v>
      </c>
      <c r="J54" s="57" t="n"/>
      <c r="K54" s="32" t="n">
        <v>0.01</v>
      </c>
      <c r="L54" s="96">
        <f>ROUNDDOWN(M54*25%,0)</f>
        <v/>
      </c>
      <c r="M54" s="99">
        <f>ROUNDDOWN(G54*K54,0)</f>
        <v/>
      </c>
      <c r="N54" s="97">
        <f>ROUND($G54*$K54/6,0)</f>
        <v/>
      </c>
      <c r="O54" s="97">
        <f>ROUND($G54*$K54/6,0)</f>
        <v/>
      </c>
      <c r="P54" s="97">
        <f>ROUND($G54*$K54/6,0)</f>
        <v/>
      </c>
      <c r="Q54" s="97">
        <f>ROUND($G54*$K54/6,0)</f>
        <v/>
      </c>
      <c r="R54" s="97">
        <f>ROUND($G54*$K54/6*50%,0)</f>
        <v/>
      </c>
      <c r="S54" s="97">
        <f>ROUND($G54*$K54/6*30%,0)</f>
        <v/>
      </c>
      <c r="T54" s="20" t="inlineStr">
        <is>
          <t>(가칭)서사초 배치</t>
        </is>
      </c>
      <c r="U54" s="0" t="n">
        <v>35.59663</v>
      </c>
      <c r="V54" s="0" t="n">
        <v>129.2732</v>
      </c>
    </row>
    <row r="55" ht="40" customHeight="1" s="95">
      <c r="A55" s="60" t="n"/>
      <c r="B55" s="60" t="n"/>
      <c r="C55" s="61" t="n"/>
      <c r="D55" s="49" t="inlineStr">
        <is>
          <t>울산 다운2지구 A-2BL(통합)</t>
        </is>
      </c>
      <c r="E55" s="20" t="inlineStr">
        <is>
          <t>울주군</t>
        </is>
      </c>
      <c r="F55" s="27" t="inlineStr">
        <is>
          <t>다운2지구 A-2BL(울주군)</t>
        </is>
      </c>
      <c r="G55" s="26" t="n">
        <v>412</v>
      </c>
      <c r="H55" s="58" t="inlineStr">
        <is>
          <t>2028.2.</t>
        </is>
      </c>
      <c r="I55" s="57" t="n">
        <v>2028</v>
      </c>
      <c r="J55" s="57" t="n"/>
      <c r="K55" s="101" t="n">
        <v>0.005</v>
      </c>
      <c r="L55" s="96">
        <f>ROUNDDOWN(M55*25%,0)</f>
        <v/>
      </c>
      <c r="M55" s="99">
        <f>ROUNDDOWN(G55*K55,0)</f>
        <v/>
      </c>
      <c r="N55" s="97">
        <f>ROUND($G55*$K55/6,0)</f>
        <v/>
      </c>
      <c r="O55" s="97">
        <f>ROUND($G55*$K55/6,0)</f>
        <v/>
      </c>
      <c r="P55" s="97">
        <f>ROUND($G55*$K55/6,0)</f>
        <v/>
      </c>
      <c r="Q55" s="97">
        <f>ROUND($G55*$K55/6,0)</f>
        <v/>
      </c>
      <c r="R55" s="97">
        <f>ROUND($G55*$K55/6*50%,0)</f>
        <v/>
      </c>
      <c r="S55" s="97">
        <f>ROUND($G55*$K55/6*30%,0)</f>
        <v/>
      </c>
      <c r="T55" s="20" t="inlineStr">
        <is>
          <t>(가칭)서사초 배치</t>
        </is>
      </c>
      <c r="U55" s="0" t="n">
        <v>35.59529</v>
      </c>
      <c r="V55" s="0" t="n">
        <v>129.2718</v>
      </c>
    </row>
    <row r="56" ht="38" customHeight="1" s="95">
      <c r="A56" s="60" t="n"/>
      <c r="B56" s="64" t="n"/>
      <c r="C56" s="65" t="n"/>
      <c r="D56" s="52" t="inlineStr">
        <is>
          <t>울산 다운2지구 A-3BL(공공분양)</t>
        </is>
      </c>
      <c r="E56" s="15" t="inlineStr">
        <is>
          <t>울주군</t>
        </is>
      </c>
      <c r="F56" s="36" t="inlineStr">
        <is>
          <t>다운2지구 A-3 BL(울주군)</t>
        </is>
      </c>
      <c r="G56" s="26" t="n">
        <v>890</v>
      </c>
      <c r="H56" s="56" t="inlineStr">
        <is>
          <t>2027.12.</t>
        </is>
      </c>
      <c r="I56" s="70" t="n">
        <v>2027</v>
      </c>
      <c r="J56" s="70" t="n"/>
      <c r="K56" s="37" t="n">
        <v>0.196</v>
      </c>
      <c r="L56" s="96">
        <f>ROUNDDOWN(M56*25%,0)</f>
        <v/>
      </c>
      <c r="M56" s="96">
        <f>ROUNDDOWN(G56*K56,0)</f>
        <v/>
      </c>
      <c r="N56" s="97">
        <f>ROUND($G56*$K56/6,0)</f>
        <v/>
      </c>
      <c r="O56" s="97">
        <f>ROUND($G56*$K56/6,0)</f>
        <v/>
      </c>
      <c r="P56" s="97">
        <f>ROUND($G56*$K56/6,0)</f>
        <v/>
      </c>
      <c r="Q56" s="97">
        <f>ROUND($G56*$K56/6,0)</f>
        <v/>
      </c>
      <c r="R56" s="97">
        <f>ROUND($G56*$K56/6*50%,0)</f>
        <v/>
      </c>
      <c r="S56" s="97">
        <f>ROUND($G56*$K56/6*30%,0)</f>
        <v/>
      </c>
      <c r="T56" s="20" t="inlineStr">
        <is>
          <t>(가칭)서사초 배치 후
제2다운초 재배치</t>
        </is>
      </c>
      <c r="U56" s="0" t="n">
        <v>35.58655</v>
      </c>
      <c r="V56" s="0" t="n">
        <v>129.2784</v>
      </c>
    </row>
    <row r="57" ht="40" customHeight="1" s="95">
      <c r="A57" s="60" t="n"/>
      <c r="B57" s="60" t="n"/>
      <c r="C57" s="61" t="n"/>
      <c r="D57" s="52" t="inlineStr">
        <is>
          <t>울산 다운2지구 A-3BL(통합임대)</t>
        </is>
      </c>
      <c r="E57" s="15" t="inlineStr">
        <is>
          <t>울주군</t>
        </is>
      </c>
      <c r="F57" s="36" t="inlineStr">
        <is>
          <t>다운2지구 A-3 BL(울주군)</t>
        </is>
      </c>
      <c r="G57" s="26" t="n">
        <v>445</v>
      </c>
      <c r="H57" s="56" t="inlineStr">
        <is>
          <t>2027.12.</t>
        </is>
      </c>
      <c r="I57" s="70" t="n">
        <v>2027</v>
      </c>
      <c r="J57" s="70" t="n"/>
      <c r="K57" s="37" t="n">
        <v>0.1</v>
      </c>
      <c r="L57" s="96">
        <f>ROUNDDOWN(M57*25%,0)</f>
        <v/>
      </c>
      <c r="M57" s="96">
        <f>ROUNDDOWN(G57*K57,0)</f>
        <v/>
      </c>
      <c r="N57" s="97">
        <f>ROUND($G57*$K57/6,0)</f>
        <v/>
      </c>
      <c r="O57" s="97">
        <f>ROUND($G57*$K57/6,0)</f>
        <v/>
      </c>
      <c r="P57" s="97">
        <f>ROUND($G57*$K57/6,0)</f>
        <v/>
      </c>
      <c r="Q57" s="97">
        <f>ROUND($G57*$K57/6,0)</f>
        <v/>
      </c>
      <c r="R57" s="97">
        <f>ROUND($G57*$K57/6*50%,0)</f>
        <v/>
      </c>
      <c r="S57" s="97">
        <f>ROUND($G57*$K57/6*30%,0)</f>
        <v/>
      </c>
      <c r="T57" s="20" t="inlineStr">
        <is>
          <t>(가칭)서사초 배치 후
제2다운초 재배치</t>
        </is>
      </c>
      <c r="U57" s="0" t="n">
        <v>35.58655</v>
      </c>
      <c r="V57" s="0" t="n">
        <v>129.2784</v>
      </c>
    </row>
    <row r="58" ht="40" customHeight="1" s="95">
      <c r="A58" s="60" t="n"/>
      <c r="B58" s="60" t="n"/>
      <c r="C58" s="63" t="n"/>
      <c r="D58" s="49" t="inlineStr">
        <is>
          <t>다운2지구 A-4BL(행복)</t>
        </is>
      </c>
      <c r="E58" s="20" t="inlineStr">
        <is>
          <t>중구</t>
        </is>
      </c>
      <c r="F58" s="27" t="inlineStr">
        <is>
          <t>다운2지구 A-4BL(중구)</t>
        </is>
      </c>
      <c r="G58" s="26" t="n">
        <v>194</v>
      </c>
      <c r="H58" s="58" t="n">
        <v>2027.3</v>
      </c>
      <c r="I58" s="57" t="n">
        <v>2026</v>
      </c>
      <c r="J58" s="57" t="n"/>
      <c r="K58" s="20" t="n">
        <v>0.0275</v>
      </c>
      <c r="L58" s="96" t="n">
        <v>0</v>
      </c>
      <c r="M58" s="99" t="n">
        <v>3</v>
      </c>
      <c r="N58" s="97">
        <f>ROUND($G58*$K58/6,0)</f>
        <v/>
      </c>
      <c r="O58" s="97">
        <f>ROUND($G58*$K58/6,0)</f>
        <v/>
      </c>
      <c r="P58" s="97">
        <f>ROUND($G58*$K58/6,0)</f>
        <v/>
      </c>
      <c r="Q58" s="97">
        <f>ROUND($G58*$K58/6,0)</f>
        <v/>
      </c>
      <c r="R58" s="97">
        <f>ROUND($G58*$K58/6*50%,0)</f>
        <v/>
      </c>
      <c r="S58" s="97">
        <f>ROUND($G58*$K58/6*30%,0)</f>
        <v/>
      </c>
      <c r="T58" s="20" t="inlineStr">
        <is>
          <t>다전초 배치 후
제2다운초 재배치</t>
        </is>
      </c>
      <c r="U58" s="0" t="n">
        <v>35.57998</v>
      </c>
      <c r="V58" s="0" t="n">
        <v>129.2727</v>
      </c>
    </row>
    <row r="59" ht="40" customHeight="1" s="95">
      <c r="A59" s="60" t="n"/>
      <c r="B59" s="60" t="n"/>
      <c r="C59" s="65" t="n"/>
      <c r="D59" s="49" t="inlineStr">
        <is>
          <t>다운2지구 A-4BL(국민)</t>
        </is>
      </c>
      <c r="E59" s="20" t="inlineStr">
        <is>
          <t>중구</t>
        </is>
      </c>
      <c r="F59" s="27" t="inlineStr">
        <is>
          <t>다운2지구 A-4BL(중구)</t>
        </is>
      </c>
      <c r="G59" s="26" t="n">
        <v>194</v>
      </c>
      <c r="H59" s="58" t="n">
        <v>2027.3</v>
      </c>
      <c r="I59" s="57" t="n">
        <v>2026</v>
      </c>
      <c r="J59" s="57" t="n"/>
      <c r="K59" s="20" t="n">
        <v>0.03</v>
      </c>
      <c r="L59" s="96" t="n">
        <v>1</v>
      </c>
      <c r="M59" s="99" t="n">
        <v>6</v>
      </c>
      <c r="N59" s="97">
        <f>ROUND($G59*$K59/6,0)</f>
        <v/>
      </c>
      <c r="O59" s="97">
        <f>ROUND($G59*$K59/6,0)</f>
        <v/>
      </c>
      <c r="P59" s="97">
        <f>ROUND($G59*$K59/6,0)</f>
        <v/>
      </c>
      <c r="Q59" s="97">
        <f>ROUND($G59*$K59/6,0)</f>
        <v/>
      </c>
      <c r="R59" s="97">
        <f>ROUND($G59*$K59/6*50%,0)</f>
        <v/>
      </c>
      <c r="S59" s="97">
        <f>ROUND($G59*$K59/6*30%,0)</f>
        <v/>
      </c>
      <c r="T59" s="20" t="inlineStr">
        <is>
          <t>다전초 배치 후
제2다운초 재배치</t>
        </is>
      </c>
      <c r="U59" s="0" t="n">
        <v>35.57998</v>
      </c>
      <c r="V59" s="0" t="n">
        <v>129.2727</v>
      </c>
    </row>
    <row r="60" ht="40" customHeight="1" s="95">
      <c r="A60" s="60" t="n"/>
      <c r="B60" s="60" t="inlineStr">
        <is>
          <t>완료</t>
        </is>
      </c>
      <c r="C60" s="62" t="inlineStr">
        <is>
          <t>착공</t>
        </is>
      </c>
      <c r="D60" s="51" t="inlineStr">
        <is>
          <t>다운2지구 A-5BL(국민임대)</t>
        </is>
      </c>
      <c r="E60" s="20" t="inlineStr">
        <is>
          <t>중구</t>
        </is>
      </c>
      <c r="F60" s="16" t="inlineStr">
        <is>
          <t>다운2지구 A-5BL(중구)</t>
        </is>
      </c>
      <c r="G60" s="26" t="n">
        <v>701</v>
      </c>
      <c r="H60" s="58" t="inlineStr">
        <is>
          <t>2025.9.</t>
        </is>
      </c>
      <c r="I60" s="57" t="n">
        <v>2025</v>
      </c>
      <c r="J60" s="57" t="n"/>
      <c r="K60" s="20" t="n">
        <v>0.043</v>
      </c>
      <c r="L60" s="96" t="n">
        <v>7</v>
      </c>
      <c r="M60" s="99" t="n">
        <v>32</v>
      </c>
      <c r="N60" s="97">
        <f>ROUND($G60*$K60/6,0)</f>
        <v/>
      </c>
      <c r="O60" s="97">
        <f>ROUND($G60*$K60/6,0)</f>
        <v/>
      </c>
      <c r="P60" s="97">
        <f>ROUND($G60*$K60/6,0)</f>
        <v/>
      </c>
      <c r="Q60" s="97">
        <f>ROUND($G60*$K60/6,0)</f>
        <v/>
      </c>
      <c r="R60" s="97">
        <f>ROUND($G60*$K60/6*50%,0)</f>
        <v/>
      </c>
      <c r="S60" s="97">
        <f>ROUND($G60*$K60/6*30%,0)</f>
        <v/>
      </c>
      <c r="T60" s="20" t="inlineStr">
        <is>
          <t>다전초 배치 가능</t>
        </is>
      </c>
      <c r="U60" s="0" t="n">
        <v>35.57074</v>
      </c>
      <c r="V60" s="0" t="n">
        <v>129.2708</v>
      </c>
    </row>
    <row r="61" ht="40" customHeight="1" s="95">
      <c r="A61" s="60" t="n"/>
      <c r="B61" s="60" t="inlineStr">
        <is>
          <t>완료</t>
        </is>
      </c>
      <c r="C61" s="64" t="inlineStr">
        <is>
          <t>착공</t>
        </is>
      </c>
      <c r="D61" s="49" t="inlineStr">
        <is>
          <t>울산 다운2지구 A-6BL 행복주택
(사회초년생, 대학생, 신혼부부등)</t>
        </is>
      </c>
      <c r="E61" s="20" t="inlineStr">
        <is>
          <t>중구</t>
        </is>
      </c>
      <c r="F61" s="16" t="inlineStr">
        <is>
          <t>다운2지구 A-6BL(중구)</t>
        </is>
      </c>
      <c r="G61" s="26" t="n">
        <v>800</v>
      </c>
      <c r="H61" s="58" t="inlineStr">
        <is>
          <t>2025.9.</t>
        </is>
      </c>
      <c r="I61" s="57" t="n">
        <v>2025</v>
      </c>
      <c r="J61" s="57" t="n"/>
      <c r="K61" s="101" t="n">
        <v>0.013</v>
      </c>
      <c r="L61" s="96" t="n">
        <v>2</v>
      </c>
      <c r="M61" s="99" t="n">
        <v>12</v>
      </c>
      <c r="N61" s="97">
        <f>ROUND($G61*$K61/6,0)</f>
        <v/>
      </c>
      <c r="O61" s="97">
        <f>ROUND($G61*$K61/6,0)</f>
        <v/>
      </c>
      <c r="P61" s="97">
        <f>ROUND($G61*$K61/6,0)</f>
        <v/>
      </c>
      <c r="Q61" s="97">
        <f>ROUND($G61*$K61/6,0)</f>
        <v/>
      </c>
      <c r="R61" s="97">
        <f>ROUND($G61*$K61/6*50%,0)</f>
        <v/>
      </c>
      <c r="S61" s="97">
        <f>ROUND($G61*$K61/6*30%,0)</f>
        <v/>
      </c>
      <c r="T61" s="20" t="inlineStr">
        <is>
          <t>다전초 배치 가능</t>
        </is>
      </c>
      <c r="U61" s="0" t="n">
        <v>35.56831</v>
      </c>
      <c r="V61" s="0" t="n">
        <v>129.2714</v>
      </c>
    </row>
    <row r="62" ht="40" customHeight="1" s="95">
      <c r="A62" s="60" t="n"/>
      <c r="B62" s="60" t="n"/>
      <c r="C62" s="61" t="inlineStr">
        <is>
          <t>2024.8.예정</t>
        </is>
      </c>
      <c r="D62" s="49" t="inlineStr">
        <is>
          <t>울산 다운2지구 A-7BL(행복)</t>
        </is>
      </c>
      <c r="E62" s="20" t="inlineStr">
        <is>
          <t>중구</t>
        </is>
      </c>
      <c r="F62" s="27" t="inlineStr">
        <is>
          <t>다운2지구 A-7BL(중구)</t>
        </is>
      </c>
      <c r="G62" s="26" t="n">
        <v>300</v>
      </c>
      <c r="H62" s="102" t="n">
        <v>2027.3</v>
      </c>
      <c r="I62" s="57" t="n">
        <v>2027</v>
      </c>
      <c r="J62" s="57" t="n"/>
      <c r="K62" s="101" t="n">
        <v>0.028</v>
      </c>
      <c r="L62" s="96" t="n">
        <v>0</v>
      </c>
      <c r="M62" s="99" t="n">
        <v>5</v>
      </c>
      <c r="N62" s="97">
        <f>ROUND($G62*$K62/6,0)</f>
        <v/>
      </c>
      <c r="O62" s="97">
        <f>ROUND($G62*$K62/6,0)</f>
        <v/>
      </c>
      <c r="P62" s="97">
        <f>ROUND($G62*$K62/6,0)</f>
        <v/>
      </c>
      <c r="Q62" s="97">
        <f>ROUND($G62*$K62/6,0)</f>
        <v/>
      </c>
      <c r="R62" s="97">
        <f>ROUND($G62*$K62/6*50%,0)</f>
        <v/>
      </c>
      <c r="S62" s="97">
        <f>ROUND($G62*$K62/6*30%,0)</f>
        <v/>
      </c>
      <c r="T62" s="20" t="inlineStr">
        <is>
          <t>다전초 배치 후
제2다운초 재배치</t>
        </is>
      </c>
      <c r="U62" s="0" t="n">
        <v>35.58163</v>
      </c>
      <c r="V62" s="0" t="n">
        <v>129.271</v>
      </c>
    </row>
    <row r="63" ht="40" customHeight="1" s="95">
      <c r="A63" s="60" t="n"/>
      <c r="B63" s="60" t="n"/>
      <c r="C63" s="61" t="n"/>
      <c r="D63" s="49" t="inlineStr">
        <is>
          <t>울산 다운2지구 A-7BL(영구)</t>
        </is>
      </c>
      <c r="E63" s="20" t="inlineStr">
        <is>
          <t>중구</t>
        </is>
      </c>
      <c r="F63" s="27" t="inlineStr">
        <is>
          <t>다운2지구 A-7BL(중구)</t>
        </is>
      </c>
      <c r="G63" s="26" t="n">
        <v>400</v>
      </c>
      <c r="H63" s="102" t="n">
        <v>2027.3</v>
      </c>
      <c r="I63" s="57" t="n">
        <v>2027</v>
      </c>
      <c r="J63" s="57" t="n"/>
      <c r="K63" s="101" t="n">
        <v>0.005</v>
      </c>
      <c r="L63" s="96" t="n">
        <v>0</v>
      </c>
      <c r="M63" s="99" t="n">
        <v>2</v>
      </c>
      <c r="N63" s="97">
        <f>ROUND($G63*$K63/6,0)</f>
        <v/>
      </c>
      <c r="O63" s="97">
        <f>ROUND($G63*$K63/6,0)</f>
        <v/>
      </c>
      <c r="P63" s="97">
        <f>ROUND($G63*$K63/6,0)</f>
        <v/>
      </c>
      <c r="Q63" s="97">
        <f>ROUND($G63*$K63/6,0)</f>
        <v/>
      </c>
      <c r="R63" s="97">
        <f>ROUND($G63*$K63/6*50%,0)</f>
        <v/>
      </c>
      <c r="S63" s="97">
        <f>ROUND($G63*$K63/6*30%,0)</f>
        <v/>
      </c>
      <c r="T63" s="20" t="inlineStr">
        <is>
          <t>다전초 배치 후
제2다운초 재배치</t>
        </is>
      </c>
      <c r="U63" s="0" t="n">
        <v>35.58163</v>
      </c>
      <c r="V63" s="0" t="n">
        <v>129.271</v>
      </c>
    </row>
    <row r="64" ht="40" customHeight="1" s="95">
      <c r="A64" s="60" t="n"/>
      <c r="B64" s="61" t="inlineStr">
        <is>
          <t>완료</t>
        </is>
      </c>
      <c r="C64" s="65" t="inlineStr">
        <is>
          <t>착공</t>
        </is>
      </c>
      <c r="D64" s="51" t="inlineStr">
        <is>
          <t>울산 다운2지구 A-9BL (행복)</t>
        </is>
      </c>
      <c r="E64" s="15" t="inlineStr">
        <is>
          <t>울주군</t>
        </is>
      </c>
      <c r="F64" s="27" t="inlineStr">
        <is>
          <t>다운2지구 A-9BL(울주군)</t>
        </is>
      </c>
      <c r="G64" s="26" t="n">
        <v>417</v>
      </c>
      <c r="H64" s="74" t="inlineStr">
        <is>
          <t>2025.6.</t>
        </is>
      </c>
      <c r="I64" s="57" t="n">
        <v>2025</v>
      </c>
      <c r="J64" s="57" t="n"/>
      <c r="K64" s="32" t="n">
        <v>0.07000000000000001</v>
      </c>
      <c r="L64" s="96">
        <f>ROUNDDOWN(M64*25%,0)</f>
        <v/>
      </c>
      <c r="M64" s="99">
        <f>ROUNDDOWN(G64*K64,0)</f>
        <v/>
      </c>
      <c r="N64" s="97">
        <f>ROUND($G64*$K64/6,0)</f>
        <v/>
      </c>
      <c r="O64" s="97">
        <f>ROUND($G64*$K64/6,0)</f>
        <v/>
      </c>
      <c r="P64" s="97">
        <f>ROUND($G64*$K64/6,0)</f>
        <v/>
      </c>
      <c r="Q64" s="97">
        <f>ROUND($G64*$K64/6,0)</f>
        <v/>
      </c>
      <c r="R64" s="97">
        <f>ROUND($G64*$K64/6*50%,0)</f>
        <v/>
      </c>
      <c r="S64" s="97">
        <f>ROUND($G64*$K64/6*30%,0)</f>
        <v/>
      </c>
      <c r="T64" s="20" t="inlineStr">
        <is>
          <t>다전초 배치 후 
(가칭)서사초 배치</t>
        </is>
      </c>
      <c r="U64" s="0" t="n">
        <v>35.59348</v>
      </c>
      <c r="V64" s="0" t="n">
        <v>129.276</v>
      </c>
    </row>
    <row r="65" ht="40" customHeight="1" s="95">
      <c r="A65" s="60" t="n"/>
      <c r="B65" s="61" t="n"/>
      <c r="C65" s="61" t="n"/>
      <c r="D65" s="51" t="inlineStr">
        <is>
          <t>울산 다운2지구 A-9BL (공공)</t>
        </is>
      </c>
      <c r="E65" s="15" t="inlineStr">
        <is>
          <t>울주군</t>
        </is>
      </c>
      <c r="F65" s="27" t="inlineStr">
        <is>
          <t>다운2지구 A-9BL(울주군)</t>
        </is>
      </c>
      <c r="G65" s="26" t="n">
        <v>835</v>
      </c>
      <c r="H65" s="74" t="inlineStr">
        <is>
          <t>2025.6.</t>
        </is>
      </c>
      <c r="I65" s="57" t="n">
        <v>2025</v>
      </c>
      <c r="J65" s="57" t="n"/>
      <c r="K65" s="101" t="n">
        <v>0.176</v>
      </c>
      <c r="L65" s="96">
        <f>ROUNDDOWN(M65*25%,0)</f>
        <v/>
      </c>
      <c r="M65" s="99">
        <f>ROUNDDOWN(G65*K65,0)</f>
        <v/>
      </c>
      <c r="N65" s="97">
        <f>ROUND($G65*$K65/6,0)</f>
        <v/>
      </c>
      <c r="O65" s="97">
        <f>ROUND($G65*$K65/6,0)</f>
        <v/>
      </c>
      <c r="P65" s="97">
        <f>ROUND($G65*$K65/6,0)</f>
        <v/>
      </c>
      <c r="Q65" s="97">
        <f>ROUND($G65*$K65/6,0)</f>
        <v/>
      </c>
      <c r="R65" s="97">
        <f>ROUND($G65*$K65/6*50%,0)</f>
        <v/>
      </c>
      <c r="S65" s="97">
        <f>ROUND($G65*$K65/6*30%,0)</f>
        <v/>
      </c>
      <c r="T65" s="20" t="inlineStr">
        <is>
          <t>다전초 배치 후 
(가칭)서사초 배치</t>
        </is>
      </c>
      <c r="U65" s="0" t="n">
        <v>35.59348</v>
      </c>
      <c r="V65" s="0" t="n">
        <v>129.276</v>
      </c>
    </row>
    <row r="66" ht="40" customHeight="1" s="95">
      <c r="A66" s="60" t="n"/>
      <c r="B66" s="62" t="inlineStr">
        <is>
          <t>완료</t>
        </is>
      </c>
      <c r="C66" s="62" t="inlineStr">
        <is>
          <t>2024.12.31.</t>
        </is>
      </c>
      <c r="D66" s="51" t="inlineStr">
        <is>
          <t>울산 다운2지구 B-1BL 공동주택</t>
        </is>
      </c>
      <c r="E66" s="15" t="inlineStr">
        <is>
          <t>울주군</t>
        </is>
      </c>
      <c r="F66" s="16" t="inlineStr">
        <is>
          <t>다운2지구 B-1BL(울주군)</t>
        </is>
      </c>
      <c r="G66" s="26" t="n">
        <v>507</v>
      </c>
      <c r="H66" s="58" t="inlineStr">
        <is>
          <t>2028.4.</t>
        </is>
      </c>
      <c r="I66" s="57" t="n">
        <v>2028</v>
      </c>
      <c r="J66" s="57" t="n"/>
      <c r="K66" s="20" t="n">
        <v>0.2316</v>
      </c>
      <c r="L66" s="96">
        <f>ROUNDDOWN(M66*25%,0)</f>
        <v/>
      </c>
      <c r="M66" s="99">
        <f>ROUNDDOWN(G66*K66,0)</f>
        <v/>
      </c>
      <c r="N66" s="97">
        <f>ROUND($G66*$K66/6,0)</f>
        <v/>
      </c>
      <c r="O66" s="97">
        <f>ROUND($G66*$K66/6,0)</f>
        <v/>
      </c>
      <c r="P66" s="97">
        <f>ROUND($G66*$K66/6,0)</f>
        <v/>
      </c>
      <c r="Q66" s="97">
        <f>ROUND($G66*$K66/6,0)</f>
        <v/>
      </c>
      <c r="R66" s="97">
        <f>ROUND($G66*$K66/6*50%,0)</f>
        <v/>
      </c>
      <c r="S66" s="97">
        <f>ROUND($G66*$K66/6*30%,0)</f>
        <v/>
      </c>
      <c r="T66" s="20" t="inlineStr">
        <is>
          <t>(가칭)서사초 배치</t>
        </is>
      </c>
      <c r="U66" s="0" t="n">
        <v>35.59399</v>
      </c>
      <c r="V66" s="0" t="n">
        <v>129.2704</v>
      </c>
    </row>
    <row r="67" ht="40" customHeight="1" s="95">
      <c r="A67" s="60" t="n"/>
      <c r="B67" s="64" t="inlineStr">
        <is>
          <t>완료</t>
        </is>
      </c>
      <c r="C67" s="64" t="inlineStr">
        <is>
          <t>착공</t>
        </is>
      </c>
      <c r="D67" s="51" t="inlineStr">
        <is>
          <t>울산 다운2지구 B-2BL 공동주택(우미개발)</t>
        </is>
      </c>
      <c r="E67" s="15" t="inlineStr">
        <is>
          <t>울주군</t>
        </is>
      </c>
      <c r="F67" s="16" t="inlineStr">
        <is>
          <t>다운2지구 B-2BL(울주군)</t>
        </is>
      </c>
      <c r="G67" s="26" t="n">
        <v>1430</v>
      </c>
      <c r="H67" s="58" t="inlineStr">
        <is>
          <t>2026.11.5.</t>
        </is>
      </c>
      <c r="I67" s="57" t="n">
        <v>2026</v>
      </c>
      <c r="J67" s="57" t="n"/>
      <c r="K67" s="20" t="n">
        <v>0.2316</v>
      </c>
      <c r="L67" s="96">
        <f>ROUNDDOWN(M67*25%,0)</f>
        <v/>
      </c>
      <c r="M67" s="99">
        <f>ROUNDDOWN(G67*K67,0)</f>
        <v/>
      </c>
      <c r="N67" s="97">
        <f>ROUND($G67*$K67/6,0)</f>
        <v/>
      </c>
      <c r="O67" s="97">
        <f>ROUND($G67*$K67/6,0)</f>
        <v/>
      </c>
      <c r="P67" s="97">
        <f>ROUND($G67*$K67/6,0)</f>
        <v/>
      </c>
      <c r="Q67" s="97">
        <f>ROUND($G67*$K67/6,0)</f>
        <v/>
      </c>
      <c r="R67" s="97">
        <f>ROUND($G67*$K67/6*50%,0)</f>
        <v/>
      </c>
      <c r="S67" s="97">
        <f>ROUND($G67*$K67/6*30%,0)</f>
        <v/>
      </c>
      <c r="T67" s="20" t="inlineStr">
        <is>
          <t>(가칭)서사초 배치</t>
        </is>
      </c>
      <c r="U67" s="0" t="n">
        <v>35.58872</v>
      </c>
      <c r="V67" s="0" t="n">
        <v>129.2751</v>
      </c>
    </row>
    <row r="68" ht="40" customHeight="1" s="95">
      <c r="A68" s="60" t="n"/>
      <c r="B68" s="60" t="n"/>
      <c r="C68" s="60" t="inlineStr">
        <is>
          <t>2024.12.31.</t>
        </is>
      </c>
      <c r="D68" s="49" t="inlineStr">
        <is>
          <t>다운2지구 B-3BL 공공지원 민간임대
일반(우미건설)</t>
        </is>
      </c>
      <c r="E68" s="20" t="inlineStr">
        <is>
          <t>중구</t>
        </is>
      </c>
      <c r="F68" s="16" t="inlineStr">
        <is>
          <t>다운2지구 B-3BL(중구)</t>
        </is>
      </c>
      <c r="G68" s="26" t="n">
        <v>231</v>
      </c>
      <c r="H68" s="58" t="inlineStr">
        <is>
          <t>2028.2.</t>
        </is>
      </c>
      <c r="I68" s="57" t="n">
        <v>2028</v>
      </c>
      <c r="J68" s="57" t="n"/>
      <c r="K68" s="20" t="n">
        <v>0.196</v>
      </c>
      <c r="L68" s="96">
        <f>ROUNDDOWN(M68*25%,0)</f>
        <v/>
      </c>
      <c r="M68" s="99">
        <f>ROUNDDOWN(G68*K68,0)</f>
        <v/>
      </c>
      <c r="N68" s="97">
        <f>ROUND($G68*$K68/6,0)</f>
        <v/>
      </c>
      <c r="O68" s="97">
        <f>ROUND($G68*$K68/6,0)</f>
        <v/>
      </c>
      <c r="P68" s="97">
        <f>ROUND($G68*$K68/6,0)</f>
        <v/>
      </c>
      <c r="Q68" s="97">
        <f>ROUND($G68*$K68/6,0)</f>
        <v/>
      </c>
      <c r="R68" s="97">
        <f>ROUND($G68*$K68/6*50%,0)</f>
        <v/>
      </c>
      <c r="S68" s="97">
        <f>ROUND($G68*$K68/6*30%,0)</f>
        <v/>
      </c>
      <c r="T68" s="20" t="inlineStr">
        <is>
          <t>(가칭)서사초 배치 후
제2다운초 재배치</t>
        </is>
      </c>
      <c r="U68" s="0" t="n">
        <v>35.58548</v>
      </c>
      <c r="V68" s="0" t="n">
        <v>129.2679</v>
      </c>
    </row>
    <row r="69" ht="40" customHeight="1" s="95">
      <c r="A69" s="60" t="n"/>
      <c r="B69" s="60" t="n"/>
      <c r="C69" s="60" t="inlineStr">
        <is>
          <t>2024.12.31.</t>
        </is>
      </c>
      <c r="D69" s="49" t="inlineStr">
        <is>
          <t>다운2지구 B-3BL 공공지원 민간임대
신혼(우미건설)</t>
        </is>
      </c>
      <c r="E69" s="20" t="inlineStr">
        <is>
          <t>중구</t>
        </is>
      </c>
      <c r="F69" s="16" t="inlineStr">
        <is>
          <t>다운2지구 B-3BL(중구)</t>
        </is>
      </c>
      <c r="G69" s="26" t="n">
        <v>421</v>
      </c>
      <c r="H69" s="58" t="inlineStr">
        <is>
          <t>2028.2.</t>
        </is>
      </c>
      <c r="I69" s="57" t="n">
        <v>2028</v>
      </c>
      <c r="J69" s="57" t="n"/>
      <c r="K69" s="20" t="n">
        <v>0.176</v>
      </c>
      <c r="L69" s="96">
        <f>ROUNDDOWN(M69*25%,0)</f>
        <v/>
      </c>
      <c r="M69" s="99">
        <f>ROUNDDOWN(G69*K69,0)</f>
        <v/>
      </c>
      <c r="N69" s="97">
        <f>ROUND($G69*$K69/6,0)</f>
        <v/>
      </c>
      <c r="O69" s="97">
        <f>ROUND($G69*$K69/6,0)</f>
        <v/>
      </c>
      <c r="P69" s="97">
        <f>ROUND($G69*$K69/6,0)</f>
        <v/>
      </c>
      <c r="Q69" s="97">
        <f>ROUND($G69*$K69/6,0)</f>
        <v/>
      </c>
      <c r="R69" s="97">
        <f>ROUND($G69*$K69/6*50%,0)</f>
        <v/>
      </c>
      <c r="S69" s="97">
        <f>ROUND($G69*$K69/6*30%,0)</f>
        <v/>
      </c>
      <c r="T69" s="20" t="inlineStr">
        <is>
          <t>(가칭)서사초 배치 후
제2다운초 재배치</t>
        </is>
      </c>
      <c r="U69" s="0" t="n">
        <v>35.58548</v>
      </c>
      <c r="V69" s="0" t="n">
        <v>129.2679</v>
      </c>
    </row>
    <row r="70" ht="40" customHeight="1" s="95">
      <c r="A70" s="60" t="n"/>
      <c r="B70" s="60" t="n"/>
      <c r="C70" s="60" t="inlineStr">
        <is>
          <t>2024.10.1.예정</t>
        </is>
      </c>
      <c r="D70" s="51" t="inlineStr">
        <is>
          <t>울산 다운2지구 B-4BL(민간)</t>
        </is>
      </c>
      <c r="E70" s="35" t="inlineStr">
        <is>
          <t>중구</t>
        </is>
      </c>
      <c r="F70" s="27" t="inlineStr">
        <is>
          <t>다운2지구 B-4BL(중구)</t>
        </is>
      </c>
      <c r="G70" s="26" t="n">
        <v>731</v>
      </c>
      <c r="H70" s="74" t="inlineStr">
        <is>
          <t>2027.7.</t>
        </is>
      </c>
      <c r="I70" s="57" t="n">
        <v>2027</v>
      </c>
      <c r="J70" s="57" t="n"/>
      <c r="K70" s="103" t="n">
        <v>0.2316</v>
      </c>
      <c r="L70" s="96">
        <f>ROUNDDOWN(M70*25%,0)</f>
        <v/>
      </c>
      <c r="M70" s="99">
        <f>ROUNDDOWN(G70*K70,0)</f>
        <v/>
      </c>
      <c r="N70" s="97">
        <f>ROUND($G70*$K70/6,0)</f>
        <v/>
      </c>
      <c r="O70" s="97">
        <f>ROUND($G70*$K70/6,0)</f>
        <v/>
      </c>
      <c r="P70" s="97">
        <f>ROUND($G70*$K70/6,0)</f>
        <v/>
      </c>
      <c r="Q70" s="97">
        <f>ROUND($G70*$K70/6,0)</f>
        <v/>
      </c>
      <c r="R70" s="97">
        <f>ROUND($G70*$K70/6*50%,0)</f>
        <v/>
      </c>
      <c r="S70" s="97">
        <f>ROUND($G70*$K70/6*30%,0)</f>
        <v/>
      </c>
      <c r="T70" s="20" t="inlineStr">
        <is>
          <t>(가칭)제2다운초 배치</t>
        </is>
      </c>
      <c r="U70" s="0" t="n">
        <v>35.58164</v>
      </c>
      <c r="V70" s="0" t="n">
        <v>129.2676</v>
      </c>
    </row>
    <row r="71" ht="40" customHeight="1" s="95">
      <c r="A71" s="60" t="n"/>
      <c r="B71" s="60" t="n"/>
      <c r="C71" s="62" t="inlineStr">
        <is>
          <t>2025.1.31.예정</t>
        </is>
      </c>
      <c r="D71" s="51" t="inlineStr">
        <is>
          <t>울산 다운2지구 B-5BL(민간)</t>
        </is>
      </c>
      <c r="E71" s="35" t="inlineStr">
        <is>
          <t>울주군</t>
        </is>
      </c>
      <c r="F71" s="27" t="inlineStr">
        <is>
          <t>다운2지구 B-5BL(울주군)</t>
        </is>
      </c>
      <c r="G71" s="26" t="n">
        <v>582</v>
      </c>
      <c r="H71" s="74" t="inlineStr">
        <is>
          <t>2027.11.</t>
        </is>
      </c>
      <c r="I71" s="57" t="n">
        <v>2027</v>
      </c>
      <c r="J71" s="57" t="n"/>
      <c r="K71" s="103" t="n">
        <v>0.2316</v>
      </c>
      <c r="L71" s="96">
        <f>ROUNDDOWN(M71*25%,0)</f>
        <v/>
      </c>
      <c r="M71" s="99">
        <f>ROUNDDOWN(G71*K71,0)</f>
        <v/>
      </c>
      <c r="N71" s="97">
        <f>ROUND($G71*$K71/6,0)</f>
        <v/>
      </c>
      <c r="O71" s="97">
        <f>ROUND($G71*$K71/6,0)</f>
        <v/>
      </c>
      <c r="P71" s="97">
        <f>ROUND($G71*$K71/6,0)</f>
        <v/>
      </c>
      <c r="Q71" s="97">
        <f>ROUND($G71*$K71/6,0)</f>
        <v/>
      </c>
      <c r="R71" s="97">
        <f>ROUND($G71*$K71/6*50%,0)</f>
        <v/>
      </c>
      <c r="S71" s="97">
        <f>ROUND($G71*$K71/6*30%,0)</f>
        <v/>
      </c>
      <c r="T71" s="20" t="inlineStr">
        <is>
          <t>(가칭)서사초 배치</t>
        </is>
      </c>
      <c r="U71" s="0" t="n">
        <v>35.59687</v>
      </c>
      <c r="V71" s="0" t="n">
        <v>129.2775</v>
      </c>
    </row>
    <row r="72" ht="40" customHeight="1" s="95">
      <c r="A72" s="60" t="n"/>
      <c r="B72" s="60" t="n"/>
      <c r="C72" s="65" t="inlineStr">
        <is>
          <t>2025.12.예정</t>
        </is>
      </c>
      <c r="D72" s="51" t="inlineStr">
        <is>
          <t>울산 다운2지구 B-7BL(공공 88)</t>
        </is>
      </c>
      <c r="E72" s="15" t="inlineStr">
        <is>
          <t>울주군</t>
        </is>
      </c>
      <c r="F72" s="16" t="inlineStr">
        <is>
          <t>다운2지구 B-7BL(울주군)</t>
        </is>
      </c>
      <c r="G72" s="26" t="n">
        <v>223</v>
      </c>
      <c r="H72" s="75" t="inlineStr">
        <is>
          <t>2028.8.</t>
        </is>
      </c>
      <c r="I72" s="57" t="n">
        <v>2028</v>
      </c>
      <c r="J72" s="57" t="n"/>
      <c r="K72" s="101" t="n">
        <v>0.196</v>
      </c>
      <c r="L72" s="96">
        <f>ROUNDDOWN(M72*25%,0)</f>
        <v/>
      </c>
      <c r="M72" s="99">
        <f>ROUNDDOWN(G72*K72,0)</f>
        <v/>
      </c>
      <c r="N72" s="97">
        <f>ROUND($G72*$K72/6,0)</f>
        <v/>
      </c>
      <c r="O72" s="97">
        <f>ROUND($G72*$K72/6,0)</f>
        <v/>
      </c>
      <c r="P72" s="97">
        <f>ROUND($G72*$K72/6,0)</f>
        <v/>
      </c>
      <c r="Q72" s="97">
        <f>ROUND($G72*$K72/6,0)</f>
        <v/>
      </c>
      <c r="R72" s="97">
        <f>ROUND($G72*$K72/6*50%,0)</f>
        <v/>
      </c>
      <c r="S72" s="97">
        <f>ROUND($G72*$K72/6*30%,0)</f>
        <v/>
      </c>
      <c r="T72" s="20" t="inlineStr">
        <is>
          <t>(가칭)서사초 배치</t>
        </is>
      </c>
      <c r="U72" s="0" t="n">
        <v>35.59749</v>
      </c>
      <c r="V72" s="0" t="n">
        <v>129.2748</v>
      </c>
    </row>
    <row r="73" ht="40" customHeight="1" s="95">
      <c r="A73" s="60" t="n"/>
      <c r="B73" s="60" t="n"/>
      <c r="C73" s="61" t="n"/>
      <c r="D73" s="51" t="inlineStr">
        <is>
          <t>울산 다운2지구 B-7BL(공공 110)</t>
        </is>
      </c>
      <c r="E73" s="15" t="inlineStr">
        <is>
          <t>울주군</t>
        </is>
      </c>
      <c r="F73" s="16" t="inlineStr">
        <is>
          <t>다운2지구 B-7BL(울주군)</t>
        </is>
      </c>
      <c r="G73" s="26" t="n">
        <v>223</v>
      </c>
      <c r="H73" s="75" t="inlineStr">
        <is>
          <t>2028.8.</t>
        </is>
      </c>
      <c r="I73" s="57" t="n">
        <v>2028</v>
      </c>
      <c r="J73" s="57" t="n"/>
      <c r="K73" s="101" t="n">
        <v>0.196</v>
      </c>
      <c r="L73" s="96">
        <f>ROUNDDOWN(M73*25%,0)</f>
        <v/>
      </c>
      <c r="M73" s="99">
        <f>ROUNDDOWN(G73*K73,0)</f>
        <v/>
      </c>
      <c r="N73" s="97">
        <f>ROUND($G73*$K73/6,0)</f>
        <v/>
      </c>
      <c r="O73" s="97">
        <f>ROUND($G73*$K73/6,0)</f>
        <v/>
      </c>
      <c r="P73" s="97">
        <f>ROUND($G73*$K73/6,0)</f>
        <v/>
      </c>
      <c r="Q73" s="97">
        <f>ROUND($G73*$K73/6,0)</f>
        <v/>
      </c>
      <c r="R73" s="97">
        <f>ROUND($G73*$K73/6*50%,0)</f>
        <v/>
      </c>
      <c r="S73" s="97">
        <f>ROUND($G73*$K73/6*30%,0)</f>
        <v/>
      </c>
      <c r="T73" s="20" t="inlineStr">
        <is>
          <t>(가칭)서사초 배치</t>
        </is>
      </c>
      <c r="U73" s="0" t="n">
        <v>35.59749</v>
      </c>
      <c r="V73" s="0" t="n">
        <v>129.2748</v>
      </c>
    </row>
    <row r="74" ht="40" customHeight="1" s="95">
      <c r="A74" s="53" t="inlineStr">
        <is>
          <t>다전초 20m
다운중 20m</t>
        </is>
      </c>
      <c r="B74" s="60" t="inlineStr">
        <is>
          <t>완료</t>
        </is>
      </c>
      <c r="C74" s="60" t="inlineStr">
        <is>
          <t>2024.10.1.</t>
        </is>
      </c>
      <c r="D74" s="52" t="inlineStr">
        <is>
          <t>울산 다운2지구 C-1BL</t>
        </is>
      </c>
      <c r="E74" s="37" t="inlineStr">
        <is>
          <t>중구</t>
        </is>
      </c>
      <c r="F74" s="36" t="inlineStr">
        <is>
          <t>다운2지구 C-1 BL(중구)</t>
        </is>
      </c>
      <c r="G74" s="26" t="n">
        <v>640</v>
      </c>
      <c r="H74" s="73" t="inlineStr">
        <is>
          <t>2027.10.</t>
        </is>
      </c>
      <c r="I74" s="70" t="n">
        <v>2027</v>
      </c>
      <c r="J74" s="70" t="n"/>
      <c r="K74" s="35" t="n">
        <v>0.2316</v>
      </c>
      <c r="L74" s="96">
        <f>ROUNDDOWN(M74*25%,0)</f>
        <v/>
      </c>
      <c r="M74" s="96">
        <f>ROUNDDOWN(G74*K74,0)</f>
        <v/>
      </c>
      <c r="N74" s="97">
        <f>ROUND($G74*$K74/6,0)</f>
        <v/>
      </c>
      <c r="O74" s="97">
        <f>ROUND($G74*$K74/6,0)</f>
        <v/>
      </c>
      <c r="P74" s="97">
        <f>ROUND($G74*$K74/6,0)</f>
        <v/>
      </c>
      <c r="Q74" s="97">
        <f>ROUND($G74*$K74/6,0)</f>
        <v/>
      </c>
      <c r="R74" s="97">
        <f>ROUND($G74*$K74/6*50%,0)</f>
        <v/>
      </c>
      <c r="S74" s="97">
        <f>ROUND($G74*$K74/6*30%,0)</f>
        <v/>
      </c>
      <c r="T74" s="35" t="inlineStr">
        <is>
          <t>다전초 배치 가능</t>
        </is>
      </c>
      <c r="U74" s="0" t="n">
        <v>35.56955</v>
      </c>
      <c r="V74" s="0" t="n">
        <v>129.2686</v>
      </c>
    </row>
    <row r="75" ht="40" customHeight="1" s="95">
      <c r="A75" s="60" t="n"/>
      <c r="B75" s="60" t="n"/>
      <c r="C75" s="60" t="inlineStr">
        <is>
          <t>미착공</t>
        </is>
      </c>
      <c r="D75" s="50" t="inlineStr">
        <is>
          <t>방어동 204-29 오피스텔
(케이블루디앤씨㈜)</t>
        </is>
      </c>
      <c r="E75" s="15" t="inlineStr">
        <is>
          <t>동구</t>
        </is>
      </c>
      <c r="F75" s="24" t="inlineStr">
        <is>
          <t>동구 방어동 204-29번지 일원</t>
        </is>
      </c>
      <c r="G75" s="25" t="n">
        <v>544</v>
      </c>
      <c r="H75" s="59" t="inlineStr">
        <is>
          <t>2023.6.~
2026.12.이후</t>
        </is>
      </c>
      <c r="I75" s="57" t="inlineStr">
        <is>
          <t>지연예정</t>
        </is>
      </c>
      <c r="J75" s="57" t="n">
        <v>2028</v>
      </c>
      <c r="K75" s="25" t="n">
        <v>0.05</v>
      </c>
      <c r="L75" s="96">
        <f>ROUNDDOWN(M75*25%,0)</f>
        <v/>
      </c>
      <c r="M75" s="99">
        <f>ROUNDDOWN(G75*K75,0)</f>
        <v/>
      </c>
      <c r="N75" s="97">
        <f>ROUND($G75*$K75/6,0)</f>
        <v/>
      </c>
      <c r="O75" s="97">
        <f>ROUND($G75*$K75/6,0)</f>
        <v/>
      </c>
      <c r="P75" s="97">
        <f>ROUND($G75*$K75/6,0)</f>
        <v/>
      </c>
      <c r="Q75" s="97">
        <f>ROUND($G75*$K75/6,0)</f>
        <v/>
      </c>
      <c r="R75" s="97">
        <f>ROUND($G75*$K75/6*50%,0)</f>
        <v/>
      </c>
      <c r="S75" s="97">
        <f>ROUND($G75*$K75/6*30%,0)</f>
        <v/>
      </c>
      <c r="T75" s="25" t="inlineStr">
        <is>
          <t>방어진초 배치 가능</t>
        </is>
      </c>
      <c r="U75" s="0" t="n">
        <v>35.4817857</v>
      </c>
      <c r="V75" s="0" t="n">
        <v>129.4243396</v>
      </c>
    </row>
    <row r="76" ht="40" customHeight="1" s="95">
      <c r="A76" s="60" t="n"/>
      <c r="B76" s="60" t="n"/>
      <c r="C76" s="60" t="inlineStr">
        <is>
          <t>미착공</t>
        </is>
      </c>
      <c r="D76" s="52" t="inlineStr">
        <is>
          <t>서부동 181-7 공동주택</t>
        </is>
      </c>
      <c r="E76" s="35" t="inlineStr">
        <is>
          <t>동구</t>
        </is>
      </c>
      <c r="F76" s="38" t="inlineStr">
        <is>
          <t>동구 서부동 181-7 일원</t>
        </is>
      </c>
      <c r="G76" s="26" t="n">
        <v>89</v>
      </c>
      <c r="H76" s="56" t="inlineStr">
        <is>
          <t>2022.3.30.~
202410.이후</t>
        </is>
      </c>
      <c r="I76" s="57" t="inlineStr">
        <is>
          <t>지연예정</t>
        </is>
      </c>
      <c r="J76" s="57" t="n">
        <v>2028</v>
      </c>
      <c r="K76" s="37" t="n">
        <v>0.2</v>
      </c>
      <c r="L76" s="96">
        <f>ROUNDDOWN(M76*25%,0)</f>
        <v/>
      </c>
      <c r="M76" s="99">
        <f>ROUNDDOWN(G76*K76,0)</f>
        <v/>
      </c>
      <c r="N76" s="97">
        <f>ROUND($G76*$K76/6,0)</f>
        <v/>
      </c>
      <c r="O76" s="97">
        <f>ROUND($G76*$K76/6,0)</f>
        <v/>
      </c>
      <c r="P76" s="97">
        <f>ROUND($G76*$K76/6,0)</f>
        <v/>
      </c>
      <c r="Q76" s="97">
        <f>ROUND($G76*$K76/6,0)</f>
        <v/>
      </c>
      <c r="R76" s="97">
        <f>ROUND($G76*$K76/6*50%,0)</f>
        <v/>
      </c>
      <c r="S76" s="97">
        <f>ROUND($G76*$K76/6*30%,0)</f>
        <v/>
      </c>
      <c r="T76" s="37" t="inlineStr">
        <is>
          <t>서부초 배치 가능</t>
        </is>
      </c>
      <c r="U76" s="0" t="n">
        <v>35.5253775</v>
      </c>
      <c r="V76" s="0" t="n">
        <v>129.4312605</v>
      </c>
    </row>
    <row r="77" ht="40" customHeight="1" s="95">
      <c r="A77" s="60" t="n"/>
      <c r="B77" s="60" t="n"/>
      <c r="C77" s="60" t="inlineStr">
        <is>
          <t>미착공</t>
        </is>
      </c>
      <c r="D77" s="51" t="inlineStr">
        <is>
          <t>서부동 244-31 공동주택</t>
        </is>
      </c>
      <c r="E77" s="15" t="inlineStr">
        <is>
          <t>동구</t>
        </is>
      </c>
      <c r="F77" s="16" t="inlineStr">
        <is>
          <t>동구 서부동 244-31 일원</t>
        </is>
      </c>
      <c r="G77" s="26" t="n">
        <v>116</v>
      </c>
      <c r="H77" s="58" t="inlineStr">
        <is>
          <t>2024.9.이후</t>
        </is>
      </c>
      <c r="I77" s="57" t="inlineStr">
        <is>
          <t>지연예정</t>
        </is>
      </c>
      <c r="J77" s="57" t="n">
        <v>2028</v>
      </c>
      <c r="K77" s="20" t="n">
        <v>0.2</v>
      </c>
      <c r="L77" s="96">
        <f>ROUNDDOWN(M77*25%,0)</f>
        <v/>
      </c>
      <c r="M77" s="99">
        <f>ROUNDDOWN(G77*K77,0)</f>
        <v/>
      </c>
      <c r="N77" s="97">
        <f>ROUND($G77*$K77/6,0)</f>
        <v/>
      </c>
      <c r="O77" s="97">
        <f>ROUND($G77*$K77/6,0)</f>
        <v/>
      </c>
      <c r="P77" s="97">
        <f>ROUND($G77*$K77/6,0)</f>
        <v/>
      </c>
      <c r="Q77" s="97">
        <f>ROUND($G77*$K77/6,0)</f>
        <v/>
      </c>
      <c r="R77" s="97">
        <f>ROUND($G77*$K77/6*50%,0)</f>
        <v/>
      </c>
      <c r="S77" s="97">
        <f>ROUND($G77*$K77/6*30%,0)</f>
        <v/>
      </c>
      <c r="T77" s="20" t="inlineStr">
        <is>
          <t>서부초 배치 가능</t>
        </is>
      </c>
      <c r="U77" s="0" t="n">
        <v>35.5244046</v>
      </c>
      <c r="V77" s="0" t="n">
        <v>129.4289439</v>
      </c>
    </row>
    <row r="78" ht="40" customHeight="1" s="95">
      <c r="A78" s="60" t="n"/>
      <c r="B78" s="60" t="inlineStr">
        <is>
          <t>완료</t>
        </is>
      </c>
      <c r="C78" s="60" t="n"/>
      <c r="D78" s="48" t="inlineStr">
        <is>
          <t>일산동 463-1 일원 주상복합</t>
        </is>
      </c>
      <c r="E78" s="37" t="inlineStr">
        <is>
          <t>동구</t>
        </is>
      </c>
      <c r="F78" s="38" t="inlineStr">
        <is>
          <t>동구 일산동 463-1번지 일원</t>
        </is>
      </c>
      <c r="G78" s="98" t="n">
        <v>234</v>
      </c>
      <c r="H78" s="56" t="inlineStr">
        <is>
          <t>2024.11.~
2027.11.</t>
        </is>
      </c>
      <c r="I78" s="70" t="inlineStr">
        <is>
          <t>지연예정</t>
        </is>
      </c>
      <c r="J78" s="70" t="n">
        <v>2028</v>
      </c>
      <c r="K78" s="25" t="n">
        <v>0.05</v>
      </c>
      <c r="L78" s="96">
        <f>ROUNDDOWN(M78*25%,0)</f>
        <v/>
      </c>
      <c r="M78" s="99">
        <f>ROUNDDOWN(G78*K78,0)</f>
        <v/>
      </c>
      <c r="N78" s="97">
        <f>ROUND($G78*$K78/6,0)</f>
        <v/>
      </c>
      <c r="O78" s="97">
        <f>ROUND($G78*$K78/6,0)</f>
        <v/>
      </c>
      <c r="P78" s="97">
        <f>ROUND($G78*$K78/6,0)</f>
        <v/>
      </c>
      <c r="Q78" s="97">
        <f>ROUND($G78*$K78/6,0)</f>
        <v/>
      </c>
      <c r="R78" s="97">
        <f>ROUND($G78*$K78/6*50%,0)</f>
        <v/>
      </c>
      <c r="S78" s="97">
        <f>ROUND($G78*$K78/6*30%,0)</f>
        <v/>
      </c>
      <c r="T78" s="37" t="inlineStr">
        <is>
          <t>일산초 배치 가능</t>
        </is>
      </c>
      <c r="U78" s="0" t="n">
        <v>35.5041084</v>
      </c>
      <c r="V78" s="0" t="n">
        <v>129.4283556</v>
      </c>
    </row>
    <row r="79" ht="40" customHeight="1" s="95">
      <c r="A79" s="60" t="n"/>
      <c r="B79" s="60" t="n"/>
      <c r="C79" s="60" t="inlineStr">
        <is>
          <t>미착공</t>
        </is>
      </c>
      <c r="D79" s="48" t="inlineStr">
        <is>
          <t>일산동 534-1 일원 주상복합</t>
        </is>
      </c>
      <c r="E79" s="15" t="inlineStr">
        <is>
          <t>동구</t>
        </is>
      </c>
      <c r="F79" s="38" t="inlineStr">
        <is>
          <t>동구 일산동 534-1 일원</t>
        </is>
      </c>
      <c r="G79" s="37" t="n">
        <v>388</v>
      </c>
      <c r="H79" s="56" t="inlineStr">
        <is>
          <t>2024.12.~
2028. 2.이후</t>
        </is>
      </c>
      <c r="I79" s="70" t="n">
        <v>2029</v>
      </c>
      <c r="J79" s="80" t="n"/>
      <c r="K79" s="37" t="n">
        <v>0.05</v>
      </c>
      <c r="L79" s="37">
        <f>ROUNDDOWN(M79*25%,0)</f>
        <v/>
      </c>
      <c r="M79" s="37">
        <f>ROUNDDOWN(G79*K79,0)</f>
        <v/>
      </c>
      <c r="N79" s="97">
        <f>ROUND($G79*$K79/6,0)</f>
        <v/>
      </c>
      <c r="O79" s="97">
        <f>ROUND($G79*$K79/6,0)</f>
        <v/>
      </c>
      <c r="P79" s="97">
        <f>ROUND($G79*$K79/6,0)</f>
        <v/>
      </c>
      <c r="Q79" s="97">
        <f>ROUND($G79*$K79/6,0)</f>
        <v/>
      </c>
      <c r="R79" s="97">
        <f>ROUND($G79*$K79/6*50%,0)</f>
        <v/>
      </c>
      <c r="S79" s="97">
        <f>ROUND($G79*$K79/6*30%,0)</f>
        <v/>
      </c>
      <c r="T79" s="37" t="inlineStr">
        <is>
          <t>일산초 배치 가능</t>
        </is>
      </c>
      <c r="U79" s="0" t="n">
        <v>35.5025166</v>
      </c>
      <c r="V79" s="0" t="n">
        <v>129.4278552</v>
      </c>
    </row>
    <row r="80" ht="40" customHeight="1" s="95">
      <c r="A80" s="60" t="n"/>
      <c r="B80" s="60" t="n"/>
      <c r="C80" s="60" t="inlineStr">
        <is>
          <t>미착공</t>
        </is>
      </c>
      <c r="D80" s="49" t="inlineStr">
        <is>
          <t>일산동 555-2 주상복합
(팜헤이븐플래닝)</t>
        </is>
      </c>
      <c r="E80" s="20" t="inlineStr">
        <is>
          <t>동구</t>
        </is>
      </c>
      <c r="F80" s="16" t="inlineStr">
        <is>
          <t>동구 일산동 555-2번지 일원</t>
        </is>
      </c>
      <c r="G80" s="26" t="n">
        <v>480</v>
      </c>
      <c r="H80" s="58" t="inlineStr">
        <is>
          <t>2028.1.이후</t>
        </is>
      </c>
      <c r="I80" s="70" t="inlineStr">
        <is>
          <t>지연예정</t>
        </is>
      </c>
      <c r="J80" s="57" t="n">
        <v>2028</v>
      </c>
      <c r="K80" s="20" t="n">
        <v>0.1</v>
      </c>
      <c r="L80" s="96">
        <f>ROUNDDOWN(M80*25%,0)</f>
        <v/>
      </c>
      <c r="M80" s="99">
        <f>ROUNDDOWN(G80*K80,0)</f>
        <v/>
      </c>
      <c r="N80" s="97">
        <f>ROUND($G80*$K80/6,0)</f>
        <v/>
      </c>
      <c r="O80" s="97">
        <f>ROUND($G80*$K80/6,0)</f>
        <v/>
      </c>
      <c r="P80" s="97">
        <f>ROUND($G80*$K80/6,0)</f>
        <v/>
      </c>
      <c r="Q80" s="97">
        <f>ROUND($G80*$K80/6,0)</f>
        <v/>
      </c>
      <c r="R80" s="97">
        <f>ROUND($G80*$K80/6*50%,0)</f>
        <v/>
      </c>
      <c r="S80" s="97">
        <f>ROUND($G80*$K80/6*30%,0)</f>
        <v/>
      </c>
      <c r="T80" s="20" t="inlineStr">
        <is>
          <t>화정초 배치 가능</t>
        </is>
      </c>
      <c r="U80" s="0" t="n">
        <v>35.5006983</v>
      </c>
      <c r="V80" s="0" t="n">
        <v>129.4278057</v>
      </c>
    </row>
    <row r="81" ht="40" customHeight="1" s="95">
      <c r="A81" s="60" t="n"/>
      <c r="B81" s="60" t="n"/>
      <c r="C81" s="60" t="inlineStr">
        <is>
          <t>미착공</t>
        </is>
      </c>
      <c r="D81" s="48" t="inlineStr">
        <is>
          <t>전하동 300-19 오피스텔</t>
        </is>
      </c>
      <c r="E81" s="15" t="inlineStr">
        <is>
          <t>동구</t>
        </is>
      </c>
      <c r="F81" s="38" t="inlineStr">
        <is>
          <t>동구 전하동 300-19 일원</t>
        </is>
      </c>
      <c r="G81" s="37" t="n">
        <v>209</v>
      </c>
      <c r="H81" s="56" t="inlineStr">
        <is>
          <t>2022.10.~
2025.4.이후</t>
        </is>
      </c>
      <c r="I81" s="70" t="inlineStr">
        <is>
          <t>지연예정</t>
        </is>
      </c>
      <c r="J81" s="57" t="n">
        <v>2028</v>
      </c>
      <c r="K81" s="37" t="n">
        <v>0.1</v>
      </c>
      <c r="L81" s="37">
        <f>ROUNDDOWN(M81*25%,0)</f>
        <v/>
      </c>
      <c r="M81" s="37">
        <f>ROUNDDOWN(G81*K81,0)</f>
        <v/>
      </c>
      <c r="N81" s="97">
        <f>ROUND($G81*$K81/6,0)</f>
        <v/>
      </c>
      <c r="O81" s="97">
        <f>ROUND($G81*$K81/6,0)</f>
        <v/>
      </c>
      <c r="P81" s="97">
        <f>ROUND($G81*$K81/6,0)</f>
        <v/>
      </c>
      <c r="Q81" s="97">
        <f>ROUND($G81*$K81/6,0)</f>
        <v/>
      </c>
      <c r="R81" s="97">
        <f>ROUND($G81*$K81/6*50%,0)</f>
        <v/>
      </c>
      <c r="S81" s="97">
        <f>ROUND($G81*$K81/6*30%,0)</f>
        <v/>
      </c>
      <c r="T81" s="37" t="inlineStr">
        <is>
          <t>전하초 배치 가능</t>
        </is>
      </c>
      <c r="U81" s="0" t="n">
        <v>35.5169462</v>
      </c>
      <c r="V81" s="0" t="n">
        <v>129.4316496</v>
      </c>
    </row>
    <row r="82" ht="40" customFormat="1" customHeight="1" s="3">
      <c r="A82" s="60" t="n"/>
      <c r="B82" s="60" t="n"/>
      <c r="C82" s="60" t="n"/>
      <c r="D82" s="48" t="inlineStr">
        <is>
          <t>전하동 653-6일원 오피스텔</t>
        </is>
      </c>
      <c r="E82" s="37" t="inlineStr">
        <is>
          <t>동구</t>
        </is>
      </c>
      <c r="F82" s="38" t="inlineStr">
        <is>
          <t>동구 전하동 653-6 일원</t>
        </is>
      </c>
      <c r="G82" s="98" t="n">
        <v>144</v>
      </c>
      <c r="H82" s="40" t="inlineStr">
        <is>
          <t>2026.3.</t>
        </is>
      </c>
      <c r="I82" s="41" t="n">
        <v>2026</v>
      </c>
      <c r="J82" s="41" t="n"/>
      <c r="K82" s="25" t="n">
        <v>0.05</v>
      </c>
      <c r="L82" s="96">
        <f>ROUNDDOWN(M82*25%,0)</f>
        <v/>
      </c>
      <c r="M82" s="99">
        <f>ROUNDDOWN(G82*K82,0)</f>
        <v/>
      </c>
      <c r="N82" s="97">
        <f>ROUND($G82*$K82/6,0)</f>
        <v/>
      </c>
      <c r="O82" s="97">
        <f>ROUND($G82*$K82/6,0)</f>
        <v/>
      </c>
      <c r="P82" s="97">
        <f>ROUND($G82*$K82/6,0)</f>
        <v/>
      </c>
      <c r="Q82" s="97">
        <f>ROUND($G82*$K82/6,0)</f>
        <v/>
      </c>
      <c r="R82" s="97">
        <f>ROUND($G82*$K82/6*50%,0)</f>
        <v/>
      </c>
      <c r="S82" s="97">
        <f>ROUND($G82*$K82/6*30%,0)</f>
        <v/>
      </c>
      <c r="T82" s="37" t="inlineStr">
        <is>
          <t>일산초 배치 가능</t>
        </is>
      </c>
      <c r="U82" s="0" t="n">
        <v>35.5094768</v>
      </c>
      <c r="V82" s="0" t="n">
        <v>129.4300507</v>
      </c>
    </row>
    <row r="83" ht="40" customHeight="1" s="95">
      <c r="A83" s="60" t="n"/>
      <c r="B83" s="60" t="inlineStr">
        <is>
          <t>대상</t>
        </is>
      </c>
      <c r="C83" s="60" t="n"/>
      <c r="D83" s="50" t="inlineStr">
        <is>
          <t>(가칭)화정2지구 도시개발사업
(화정지구 도시개발조합)</t>
        </is>
      </c>
      <c r="E83" s="25" t="inlineStr">
        <is>
          <t>동구</t>
        </is>
      </c>
      <c r="F83" s="24" t="inlineStr">
        <is>
          <t>동구 화정동 192-4번지 일원</t>
        </is>
      </c>
      <c r="G83" s="99" t="n">
        <v>1133</v>
      </c>
      <c r="H83" s="59" t="inlineStr">
        <is>
          <t>2028.12.</t>
        </is>
      </c>
      <c r="I83" s="57" t="n">
        <v>2029</v>
      </c>
      <c r="J83" s="21" t="n"/>
      <c r="K83" s="25" t="n">
        <v>0.11</v>
      </c>
      <c r="L83" s="96">
        <f>ROUNDDOWN(M83*25%,0)</f>
        <v/>
      </c>
      <c r="M83" s="99">
        <f>ROUNDDOWN(G83*K83,0)</f>
        <v/>
      </c>
      <c r="N83" s="97">
        <f>ROUND($G83*$K83/6,0)</f>
        <v/>
      </c>
      <c r="O83" s="97">
        <f>ROUND($G83*$K83/6,0)</f>
        <v/>
      </c>
      <c r="P83" s="97">
        <f>ROUND($G83*$K83/6,0)</f>
        <v/>
      </c>
      <c r="Q83" s="97">
        <f>ROUND($G83*$K83/6,0)</f>
        <v/>
      </c>
      <c r="R83" s="97">
        <f>ROUND($G83*$K83/6*50%,0)</f>
        <v/>
      </c>
      <c r="S83" s="97">
        <f>ROUND($G83*$K83/6*30%,0)</f>
        <v/>
      </c>
      <c r="T83" s="25" t="inlineStr">
        <is>
          <t>화정초 배치 가능</t>
        </is>
      </c>
      <c r="U83" s="0" t="n">
        <v>35.5018567</v>
      </c>
      <c r="V83" s="0" t="n">
        <v>129.4134402</v>
      </c>
    </row>
    <row r="84" ht="40" customHeight="1" s="95">
      <c r="A84" s="66" t="n"/>
      <c r="B84" s="66" t="n"/>
      <c r="C84" s="66" t="inlineStr">
        <is>
          <t>미착공</t>
        </is>
      </c>
      <c r="D84" s="87" t="inlineStr">
        <is>
          <t>화정동 638-3 일원 주거복합</t>
        </is>
      </c>
      <c r="E84" s="15" t="inlineStr">
        <is>
          <t>동구</t>
        </is>
      </c>
      <c r="F84" s="24" t="inlineStr">
        <is>
          <t>동구 화정동 638-3 일원</t>
        </is>
      </c>
      <c r="G84" s="25" t="n">
        <v>414</v>
      </c>
      <c r="H84" s="59" t="inlineStr">
        <is>
          <t>2024.2.~
2028.4.</t>
        </is>
      </c>
      <c r="I84" s="57" t="n">
        <v>2028</v>
      </c>
      <c r="J84" s="80" t="n"/>
      <c r="K84" s="25" t="n">
        <v>0.12</v>
      </c>
      <c r="L84" s="96">
        <f>ROUNDDOWN(M84*25%,0)</f>
        <v/>
      </c>
      <c r="M84" s="99">
        <f>ROUNDDOWN(G84*K84,0)</f>
        <v/>
      </c>
      <c r="N84" s="97">
        <f>ROUND($G84*$K84/6,0)</f>
        <v/>
      </c>
      <c r="O84" s="97">
        <f>ROUND($G84*$K84/6,0)</f>
        <v/>
      </c>
      <c r="P84" s="97">
        <f>ROUND($G84*$K84/6,0)</f>
        <v/>
      </c>
      <c r="Q84" s="97">
        <f>ROUND($G84*$K84/6,0)</f>
        <v/>
      </c>
      <c r="R84" s="97">
        <f>ROUND($G84*$K84/6*50%,0)</f>
        <v/>
      </c>
      <c r="S84" s="97">
        <f>ROUND($G84*$K84/6*30%,0)</f>
        <v/>
      </c>
      <c r="T84" s="25" t="inlineStr">
        <is>
          <t>화진초 배치 가능</t>
        </is>
      </c>
      <c r="U84" s="0" t="n">
        <v>35.4963287</v>
      </c>
      <c r="V84" s="0" t="n">
        <v>129.4278631</v>
      </c>
    </row>
    <row r="85" ht="40" customFormat="1" customHeight="1" s="3">
      <c r="A85" s="60" t="n"/>
      <c r="B85" s="60" t="n"/>
      <c r="C85" s="60" t="n"/>
      <c r="D85" s="51" t="inlineStr">
        <is>
          <t>(가칭)화정1지구 도시개발사업</t>
        </is>
      </c>
      <c r="E85" s="15" t="inlineStr">
        <is>
          <t>동구</t>
        </is>
      </c>
      <c r="F85" s="16" t="inlineStr">
        <is>
          <t>동구 화정동 산12번지 일원</t>
        </is>
      </c>
      <c r="G85" s="26" t="n">
        <v>803</v>
      </c>
      <c r="H85" s="58" t="inlineStr">
        <is>
          <t>2028.1.</t>
        </is>
      </c>
      <c r="I85" s="57" t="n">
        <v>2028</v>
      </c>
      <c r="J85" s="80" t="n"/>
      <c r="K85" s="20" t="n">
        <v>0.15</v>
      </c>
      <c r="L85" s="96">
        <f>ROUNDDOWN(M85*25%,0)</f>
        <v/>
      </c>
      <c r="M85" s="99">
        <f>ROUNDDOWN(G85*K85,0)</f>
        <v/>
      </c>
      <c r="N85" s="97">
        <f>ROUND($G85*$K85/6,0)</f>
        <v/>
      </c>
      <c r="O85" s="97">
        <f>ROUND($G85*$K85/6,0)</f>
        <v/>
      </c>
      <c r="P85" s="97">
        <f>ROUND($G85*$K85/6,0)</f>
        <v/>
      </c>
      <c r="Q85" s="97">
        <f>ROUND($G85*$K85/6,0)</f>
        <v/>
      </c>
      <c r="R85" s="97">
        <f>ROUND($G85*$K85/6*50%,0)</f>
        <v/>
      </c>
      <c r="S85" s="97">
        <f>ROUND($G85*$K85/6*30%,0)</f>
        <v/>
      </c>
      <c r="T85" s="20" t="inlineStr">
        <is>
          <t>미포초 배치 가능</t>
        </is>
      </c>
      <c r="U85" s="0" t="n">
        <v>35.5089615</v>
      </c>
      <c r="V85" s="0" t="n">
        <v>129.4170654</v>
      </c>
    </row>
    <row r="86" ht="40" customFormat="1" customHeight="1" s="3">
      <c r="A86" s="60" t="n"/>
      <c r="B86" s="60" t="n"/>
      <c r="C86" s="60" t="inlineStr">
        <is>
          <t>미착공</t>
        </is>
      </c>
      <c r="D86" s="49" t="inlineStr">
        <is>
          <t>모바일테크밸리(6B-7) 공동주택
(울산모바일테크밸리호반써밋)</t>
        </is>
      </c>
      <c r="E86" s="20" t="inlineStr">
        <is>
          <t>북구</t>
        </is>
      </c>
      <c r="F86" s="16" t="inlineStr">
        <is>
          <t>북구 달천동 183-1번지 일원</t>
        </is>
      </c>
      <c r="G86" s="26" t="n">
        <v>681</v>
      </c>
      <c r="H86" s="58" t="inlineStr">
        <is>
          <t>2027.1.</t>
        </is>
      </c>
      <c r="I86" s="57" t="n">
        <v>2027</v>
      </c>
      <c r="J86" s="80" t="n"/>
      <c r="K86" s="20" t="n">
        <v>0.19</v>
      </c>
      <c r="L86" s="96">
        <f>ROUNDDOWN(M86*25%,0)</f>
        <v/>
      </c>
      <c r="M86" s="99">
        <f>ROUNDDOWN(G86*K86,0)</f>
        <v/>
      </c>
      <c r="N86" s="97">
        <f>ROUND($G86*$K86/6,0)</f>
        <v/>
      </c>
      <c r="O86" s="97">
        <f>ROUND($G86*$K86/6,0)</f>
        <v/>
      </c>
      <c r="P86" s="97">
        <f>ROUND($G86*$K86/6,0)</f>
        <v/>
      </c>
      <c r="Q86" s="97">
        <f>ROUND($G86*$K86/6,0)</f>
        <v/>
      </c>
      <c r="R86" s="97">
        <f>ROUND($G86*$K86/6*50%,0)</f>
        <v/>
      </c>
      <c r="S86" s="97">
        <f>ROUND($G86*$K86/6*30%,0)</f>
        <v/>
      </c>
      <c r="T86" s="20" t="inlineStr">
        <is>
          <t>농서초 배치 가능</t>
        </is>
      </c>
      <c r="U86" s="0" t="n">
        <v>35.6346539</v>
      </c>
      <c r="V86" s="0" t="n">
        <v>129.3188473</v>
      </c>
    </row>
    <row r="87" ht="40" customFormat="1" customHeight="1" s="3">
      <c r="A87" s="60" t="n"/>
      <c r="B87" s="60" t="n"/>
      <c r="C87" s="60" t="inlineStr">
        <is>
          <t>미착공</t>
        </is>
      </c>
      <c r="D87" s="48" t="inlineStr">
        <is>
          <t>상안동 행복주택 신축(공공임대)</t>
        </is>
      </c>
      <c r="E87" s="37" t="inlineStr">
        <is>
          <t>북구</t>
        </is>
      </c>
      <c r="F87" s="38" t="inlineStr">
        <is>
          <t>북구 상안동 343 일원</t>
        </is>
      </c>
      <c r="G87" s="26" t="n">
        <v>102</v>
      </c>
      <c r="H87" s="56" t="inlineStr">
        <is>
          <t>2026.12.</t>
        </is>
      </c>
      <c r="I87" s="70" t="inlineStr">
        <is>
          <t>지연예정</t>
        </is>
      </c>
      <c r="J87" s="70" t="n">
        <v>2028</v>
      </c>
      <c r="K87" s="37" t="n">
        <v>0</v>
      </c>
      <c r="L87" s="96">
        <f>ROUNDDOWN(M87*25%,0)</f>
        <v/>
      </c>
      <c r="M87" s="99">
        <f>ROUNDDOWN(G87*K87,0)</f>
        <v/>
      </c>
      <c r="N87" s="97">
        <f>ROUND($G87*$K87/6,0)</f>
        <v/>
      </c>
      <c r="O87" s="97">
        <f>ROUND($G87*$K87/6,0)</f>
        <v/>
      </c>
      <c r="P87" s="97">
        <f>ROUND($G87*$K87/6,0)</f>
        <v/>
      </c>
      <c r="Q87" s="97">
        <f>ROUND($G87*$K87/6,0)</f>
        <v/>
      </c>
      <c r="R87" s="97">
        <f>ROUND($G87*$K87/6*50%,0)</f>
        <v/>
      </c>
      <c r="S87" s="97">
        <f>ROUND($G87*$K87/6*30%,0)</f>
        <v/>
      </c>
      <c r="T87" s="37" t="inlineStr">
        <is>
          <t>동천초 배치 가능</t>
        </is>
      </c>
      <c r="U87" s="0" t="n">
        <v>35.6277939</v>
      </c>
      <c r="V87" s="0" t="n">
        <v>129.3434755</v>
      </c>
    </row>
    <row r="88" ht="40" customFormat="1" customHeight="1" s="3">
      <c r="A88" s="60" t="n"/>
      <c r="B88" s="60" t="inlineStr">
        <is>
          <t>완료</t>
        </is>
      </c>
      <c r="C88" s="60" t="inlineStr">
        <is>
          <t>미착공</t>
        </is>
      </c>
      <c r="D88" s="51" t="inlineStr">
        <is>
          <t>신천동 214 일원 주상복합</t>
        </is>
      </c>
      <c r="E88" s="15" t="inlineStr">
        <is>
          <t>북구</t>
        </is>
      </c>
      <c r="F88" s="16" t="inlineStr">
        <is>
          <t>북구 신천동 214번지 일원</t>
        </is>
      </c>
      <c r="G88" s="26" t="n">
        <v>572</v>
      </c>
      <c r="H88" s="58" t="inlineStr">
        <is>
          <t>2022.12.1.
~2030. 이후</t>
        </is>
      </c>
      <c r="I88" s="57" t="n">
        <v>2030</v>
      </c>
      <c r="J88" s="57" t="n"/>
      <c r="K88" s="20" t="n">
        <v>0.19</v>
      </c>
      <c r="L88" s="96">
        <f>ROUNDDOWN(M88*25%,0)</f>
        <v/>
      </c>
      <c r="M88" s="99">
        <f>ROUNDDOWN(G88*K88,0)</f>
        <v/>
      </c>
      <c r="N88" s="97">
        <f>ROUND($G88*$K88/6,0)</f>
        <v/>
      </c>
      <c r="O88" s="97">
        <f>ROUND($G88*$K88/6,0)</f>
        <v/>
      </c>
      <c r="P88" s="97">
        <f>ROUND($G88*$K88/6,0)</f>
        <v/>
      </c>
      <c r="Q88" s="97">
        <f>ROUND($G88*$K88/6,0)</f>
        <v/>
      </c>
      <c r="R88" s="97">
        <f>ROUND($G88*$K88/6*50%,0)</f>
        <v/>
      </c>
      <c r="S88" s="97">
        <f>ROUND($G88*$K88/6*30%,0)</f>
        <v/>
      </c>
      <c r="T88" s="20" t="inlineStr">
        <is>
          <t>신천초 배치 가능</t>
        </is>
      </c>
      <c r="U88" s="0" t="n">
        <v>35.6379243</v>
      </c>
      <c r="V88" s="0" t="n">
        <v>129.3507615</v>
      </c>
    </row>
    <row r="89" ht="40" customFormat="1" customHeight="1" s="3">
      <c r="A89" s="60" t="n"/>
      <c r="B89" s="60" t="n"/>
      <c r="C89" s="60" t="inlineStr">
        <is>
          <t>미착공</t>
        </is>
      </c>
      <c r="D89" s="49" t="inlineStr">
        <is>
          <t>울산두산위브더센트럴(민간임대)</t>
        </is>
      </c>
      <c r="E89" s="20" t="inlineStr">
        <is>
          <t>북구</t>
        </is>
      </c>
      <c r="F89" s="16" t="inlineStr">
        <is>
          <t>북구 신천동 5-3번지 일원</t>
        </is>
      </c>
      <c r="G89" s="26" t="n">
        <v>525</v>
      </c>
      <c r="H89" s="58" t="inlineStr">
        <is>
          <t>2028.초</t>
        </is>
      </c>
      <c r="I89" s="57" t="n">
        <v>2028</v>
      </c>
      <c r="J89" s="57" t="n"/>
      <c r="K89" s="20" t="n">
        <v>0.15</v>
      </c>
      <c r="L89" s="96">
        <f>ROUNDDOWN(M89*25%,0)</f>
        <v/>
      </c>
      <c r="M89" s="99">
        <f>ROUNDDOWN(G89*K89,0)</f>
        <v/>
      </c>
      <c r="N89" s="97">
        <f>ROUND($G89*$K89/6,0)</f>
        <v/>
      </c>
      <c r="O89" s="97">
        <f>ROUND($G89*$K89/6,0)</f>
        <v/>
      </c>
      <c r="P89" s="97">
        <f>ROUND($G89*$K89/6,0)</f>
        <v/>
      </c>
      <c r="Q89" s="97">
        <f>ROUND($G89*$K89/6,0)</f>
        <v/>
      </c>
      <c r="R89" s="97">
        <f>ROUND($G89*$K89/6*50%,0)</f>
        <v/>
      </c>
      <c r="S89" s="97">
        <f>ROUND($G89*$K89/6*30%,0)</f>
        <v/>
      </c>
      <c r="T89" s="20" t="inlineStr">
        <is>
          <t>호계초 배치 가능</t>
        </is>
      </c>
      <c r="U89" s="0" t="n">
        <v>35.6326147</v>
      </c>
      <c r="V89" s="0" t="n">
        <v>129.3543626</v>
      </c>
    </row>
    <row r="90" ht="40" customFormat="1" customHeight="1" s="3">
      <c r="A90" s="60" t="inlineStr">
        <is>
          <t>매곡중 5m</t>
        </is>
      </c>
      <c r="B90" s="60" t="n"/>
      <c r="C90" s="60" t="inlineStr">
        <is>
          <t>미착공</t>
        </is>
      </c>
      <c r="D90" s="49" t="inlineStr">
        <is>
          <t>신천동 594-1일원 공동주택
(신천동 유탑유블레스)</t>
        </is>
      </c>
      <c r="E90" s="15" t="inlineStr">
        <is>
          <t>북구</t>
        </is>
      </c>
      <c r="F90" s="24" t="inlineStr">
        <is>
          <t>북구 신천동 594-1 일원</t>
        </is>
      </c>
      <c r="G90" s="25" t="n">
        <v>230</v>
      </c>
      <c r="H90" s="67" t="inlineStr">
        <is>
          <t>2023.3.~
2026.7.이후</t>
        </is>
      </c>
      <c r="I90" s="57" t="inlineStr">
        <is>
          <t>지연예정</t>
        </is>
      </c>
      <c r="J90" s="57" t="n">
        <v>2029</v>
      </c>
      <c r="K90" s="25" t="n">
        <v>0.21</v>
      </c>
      <c r="L90" s="96">
        <f>ROUNDDOWN(M90*25%,0)</f>
        <v/>
      </c>
      <c r="M90" s="99">
        <f>ROUNDDOWN(G90*K90,0)</f>
        <v/>
      </c>
      <c r="N90" s="97">
        <f>ROUND($G90*$K90/6,0)</f>
        <v/>
      </c>
      <c r="O90" s="97">
        <f>ROUND($G90*$K90/6,0)</f>
        <v/>
      </c>
      <c r="P90" s="97">
        <f>ROUND($G90*$K90/6,0)</f>
        <v/>
      </c>
      <c r="Q90" s="97">
        <f>ROUND($G90*$K90/6,0)</f>
        <v/>
      </c>
      <c r="R90" s="97">
        <f>ROUND($G90*$K90/6*50%,0)</f>
        <v/>
      </c>
      <c r="S90" s="97">
        <f>ROUND($G90*$K90/6*30%,0)</f>
        <v/>
      </c>
      <c r="T90" s="25" t="inlineStr">
        <is>
          <t>매곡초 배치가능
(동대초로 통학구역 조정)</t>
        </is>
      </c>
      <c r="U90" s="0" t="n">
        <v>35.6448696</v>
      </c>
      <c r="V90" s="0" t="n">
        <v>129.3482242</v>
      </c>
    </row>
    <row r="91" ht="40" customHeight="1" s="95">
      <c r="A91" s="60" t="n"/>
      <c r="B91" s="60" t="n"/>
      <c r="C91" s="60" t="inlineStr">
        <is>
          <t>미착공</t>
        </is>
      </c>
      <c r="D91" s="49" t="inlineStr">
        <is>
          <t>율동공공주택지구(A2)
울산도시개발공사</t>
        </is>
      </c>
      <c r="E91" s="15" t="inlineStr">
        <is>
          <t>북구</t>
        </is>
      </c>
      <c r="F91" s="16" t="inlineStr">
        <is>
          <t>북구 율동공공주택지구</t>
        </is>
      </c>
      <c r="G91" s="26" t="n">
        <v>320</v>
      </c>
      <c r="H91" s="58" t="inlineStr">
        <is>
          <t>2026.12.~2029.9</t>
        </is>
      </c>
      <c r="I91" s="57" t="n">
        <v>2029</v>
      </c>
      <c r="J91" s="57" t="n"/>
      <c r="K91" s="20" t="n">
        <v>0.15</v>
      </c>
      <c r="L91" s="96">
        <f>ROUNDDOWN(M91*25%,0)</f>
        <v/>
      </c>
      <c r="M91" s="99">
        <f>ROUNDDOWN(G91*K91,0)</f>
        <v/>
      </c>
      <c r="N91" s="97">
        <f>ROUND($G91*$K91/6,0)</f>
        <v/>
      </c>
      <c r="O91" s="97">
        <f>ROUND($G91*$K91/6,0)</f>
        <v/>
      </c>
      <c r="P91" s="97">
        <f>ROUND($G91*$K91/6,0)</f>
        <v/>
      </c>
      <c r="Q91" s="97">
        <f>ROUND($G91*$K91/6,0)</f>
        <v/>
      </c>
      <c r="R91" s="97">
        <f>ROUND($G91*$K91/6*50%,0)</f>
        <v/>
      </c>
      <c r="S91" s="97">
        <f>ROUND($G91*$K91/6*30%,0)</f>
        <v/>
      </c>
      <c r="T91" s="20" t="inlineStr">
        <is>
          <t>(가칭)효문초 배치
('25.3월 개교 목표)</t>
        </is>
      </c>
      <c r="U91" s="0" t="n">
        <v>35.56175</v>
      </c>
      <c r="V91" s="0" t="n">
        <v>129.3792</v>
      </c>
    </row>
    <row r="92" ht="38" customHeight="1" s="95">
      <c r="A92" s="60" t="n"/>
      <c r="B92" s="60" t="n"/>
      <c r="C92" s="60" t="inlineStr">
        <is>
          <t>미착공</t>
        </is>
      </c>
      <c r="D92" s="51" t="inlineStr">
        <is>
          <t>율동공공주택지구(C1)</t>
        </is>
      </c>
      <c r="E92" s="15" t="inlineStr">
        <is>
          <t>북구</t>
        </is>
      </c>
      <c r="F92" s="16" t="inlineStr">
        <is>
          <t>북구 율동공공주택지구</t>
        </is>
      </c>
      <c r="G92" s="26" t="n">
        <v>280</v>
      </c>
      <c r="H92" s="58" t="inlineStr">
        <is>
          <t>미정</t>
        </is>
      </c>
      <c r="I92" s="57" t="inlineStr">
        <is>
          <t>미정</t>
        </is>
      </c>
      <c r="J92" s="57" t="n">
        <v>2028</v>
      </c>
      <c r="K92" s="20" t="n">
        <v>0.15</v>
      </c>
      <c r="L92" s="96">
        <f>ROUNDDOWN(M92*25%,0)</f>
        <v/>
      </c>
      <c r="M92" s="99">
        <f>ROUNDDOWN(G92*K92,0)</f>
        <v/>
      </c>
      <c r="N92" s="97">
        <f>ROUND($G92*$K92/6,0)</f>
        <v/>
      </c>
      <c r="O92" s="97">
        <f>ROUND($G92*$K92/6,0)</f>
        <v/>
      </c>
      <c r="P92" s="97">
        <f>ROUND($G92*$K92/6,0)</f>
        <v/>
      </c>
      <c r="Q92" s="97">
        <f>ROUND($G92*$K92/6,0)</f>
        <v/>
      </c>
      <c r="R92" s="97">
        <f>ROUND($G92*$K92/6*50%,0)</f>
        <v/>
      </c>
      <c r="S92" s="97">
        <f>ROUND($G92*$K92/6*30%,0)</f>
        <v/>
      </c>
      <c r="T92" s="20" t="inlineStr">
        <is>
          <t>(가칭)효문초 배치
('25.3월 개교 목표)</t>
        </is>
      </c>
      <c r="U92" s="0" t="n">
        <v>35.55857</v>
      </c>
      <c r="V92" s="0" t="n">
        <v>129.3824</v>
      </c>
    </row>
    <row r="93" ht="40" customHeight="1" s="95">
      <c r="A93" s="60" t="n"/>
      <c r="B93" s="66" t="inlineStr">
        <is>
          <t>완료</t>
        </is>
      </c>
      <c r="C93" s="66" t="inlineStr">
        <is>
          <t>미착공</t>
        </is>
      </c>
      <c r="D93" s="48" t="inlineStr">
        <is>
          <t>중산동 105-1 일원 공동주택</t>
        </is>
      </c>
      <c r="E93" s="77" t="inlineStr">
        <is>
          <t>북구</t>
        </is>
      </c>
      <c r="F93" s="78" t="inlineStr">
        <is>
          <t>북구 중산동 105-1 일원</t>
        </is>
      </c>
      <c r="G93" s="76" t="n">
        <v>998</v>
      </c>
      <c r="H93" s="56" t="inlineStr">
        <is>
          <t>2028.7.31.</t>
        </is>
      </c>
      <c r="I93" s="70" t="n">
        <v>2028</v>
      </c>
      <c r="J93" s="70" t="n"/>
      <c r="K93" s="76" t="n">
        <v>0.25</v>
      </c>
      <c r="L93" s="104">
        <f>ROUNDDOWN(M93*25%,0)</f>
        <v/>
      </c>
      <c r="M93" s="105">
        <f>ROUNDDOWN(G93*K93,0)</f>
        <v/>
      </c>
      <c r="N93" s="97">
        <f>ROUND($G93*$K93/6,0)</f>
        <v/>
      </c>
      <c r="O93" s="97">
        <f>ROUND($G93*$K93/6,0)</f>
        <v/>
      </c>
      <c r="P93" s="97">
        <f>ROUND($G93*$K93/6,0)</f>
        <v/>
      </c>
      <c r="Q93" s="97">
        <f>ROUND($G93*$K93/6,0)</f>
        <v/>
      </c>
      <c r="R93" s="97">
        <f>ROUND($G93*$K93/6*50%,0)</f>
        <v/>
      </c>
      <c r="S93" s="97">
        <f>ROUND($G93*$K93/6*30%,0)</f>
        <v/>
      </c>
      <c r="T93" s="76" t="inlineStr">
        <is>
          <t>중산초 배치 가능</t>
        </is>
      </c>
      <c r="U93" s="0" t="n">
        <v>35.6496357</v>
      </c>
      <c r="V93" s="0" t="n">
        <v>129.3507813</v>
      </c>
    </row>
    <row r="94" ht="40" customHeight="1" s="95">
      <c r="A94" s="60" t="n"/>
      <c r="B94" s="60" t="inlineStr">
        <is>
          <t>완료</t>
        </is>
      </c>
      <c r="C94" s="60" t="inlineStr">
        <is>
          <t>미착공</t>
        </is>
      </c>
      <c r="D94" s="51" t="inlineStr">
        <is>
          <t>중산동 938 일원 공동주택</t>
        </is>
      </c>
      <c r="E94" s="15" t="inlineStr">
        <is>
          <t>북구</t>
        </is>
      </c>
      <c r="F94" s="16" t="inlineStr">
        <is>
          <t>북구 중산동 938번지 일원</t>
        </is>
      </c>
      <c r="G94" s="26" t="n">
        <v>496</v>
      </c>
      <c r="H94" s="58" t="inlineStr">
        <is>
          <t>2025.4.30.</t>
        </is>
      </c>
      <c r="I94" s="57" t="inlineStr">
        <is>
          <t>2028
(지연예정)</t>
        </is>
      </c>
      <c r="J94" s="57" t="n"/>
      <c r="K94" s="20" t="n">
        <v>0.25</v>
      </c>
      <c r="L94" s="96">
        <f>ROUNDDOWN(M94*25%,0)</f>
        <v/>
      </c>
      <c r="M94" s="99">
        <f>ROUNDDOWN(G94*K94,0)</f>
        <v/>
      </c>
      <c r="N94" s="97">
        <f>ROUND($G94*$K94/6,0)</f>
        <v/>
      </c>
      <c r="O94" s="97">
        <f>ROUND($G94*$K94/6,0)</f>
        <v/>
      </c>
      <c r="P94" s="97">
        <f>ROUND($G94*$K94/6,0)</f>
        <v/>
      </c>
      <c r="Q94" s="97">
        <f>ROUND($G94*$K94/6,0)</f>
        <v/>
      </c>
      <c r="R94" s="97">
        <f>ROUND($G94*$K94/6*50%,0)</f>
        <v/>
      </c>
      <c r="S94" s="97">
        <f>ROUND($G94*$K94/6*30%,0)</f>
        <v/>
      </c>
      <c r="T94" s="20" t="inlineStr">
        <is>
          <t>중산초 배치 가능</t>
        </is>
      </c>
      <c r="U94" s="0" t="n">
        <v>35.6470517</v>
      </c>
      <c r="V94" s="0" t="n">
        <v>129.3483166</v>
      </c>
    </row>
    <row r="95" ht="40" customHeight="1" s="95">
      <c r="A95" s="60" t="inlineStr">
        <is>
          <t>천곡초 29m</t>
        </is>
      </c>
      <c r="B95" s="60" t="inlineStr">
        <is>
          <t>완료</t>
        </is>
      </c>
      <c r="C95" s="60" t="inlineStr">
        <is>
          <t>미착공</t>
        </is>
      </c>
      <c r="D95" s="49" t="inlineStr">
        <is>
          <t>천곡동 525-3 일원 민간임대
(천곡 경남아너스빌)</t>
        </is>
      </c>
      <c r="E95" s="15" t="inlineStr">
        <is>
          <t>북구</t>
        </is>
      </c>
      <c r="F95" s="16" t="inlineStr">
        <is>
          <t>북구 천곡동 525-3 일원</t>
        </is>
      </c>
      <c r="G95" s="26" t="n">
        <v>397</v>
      </c>
      <c r="H95" s="58" t="inlineStr">
        <is>
          <t>2027.2.이후</t>
        </is>
      </c>
      <c r="I95" s="57" t="inlineStr">
        <is>
          <t>지연예정</t>
        </is>
      </c>
      <c r="J95" s="57" t="n">
        <v>2028</v>
      </c>
      <c r="K95" s="20" t="n">
        <v>0.15</v>
      </c>
      <c r="L95" s="96">
        <f>ROUNDDOWN(M95*25%,0)</f>
        <v/>
      </c>
      <c r="M95" s="99">
        <f>ROUNDDOWN(G95*K95,0)</f>
        <v/>
      </c>
      <c r="N95" s="97">
        <f>ROUND($G95*$K95/6,0)</f>
        <v/>
      </c>
      <c r="O95" s="97">
        <f>ROUND($G95*$K95/6,0)</f>
        <v/>
      </c>
      <c r="P95" s="97">
        <f>ROUND($G95*$K95/6,0)</f>
        <v/>
      </c>
      <c r="Q95" s="97">
        <f>ROUND($G95*$K95/6,0)</f>
        <v/>
      </c>
      <c r="R95" s="97">
        <f>ROUND($G95*$K95/6*50%,0)</f>
        <v/>
      </c>
      <c r="S95" s="97">
        <f>ROUND($G95*$K95/6*30%,0)</f>
        <v/>
      </c>
      <c r="T95" s="20" t="inlineStr">
        <is>
          <t>천곡초 배치 가능</t>
        </is>
      </c>
      <c r="U95" s="0" t="n">
        <v>35.6390864</v>
      </c>
      <c r="V95" s="0" t="n">
        <v>129.3311193</v>
      </c>
    </row>
    <row r="96" ht="40" customHeight="1" s="95">
      <c r="A96" s="60" t="n"/>
      <c r="B96" s="60" t="n"/>
      <c r="C96" s="60" t="n"/>
      <c r="D96" s="51" t="inlineStr">
        <is>
          <t>(가칭)천곡지구 도시개발사업</t>
        </is>
      </c>
      <c r="E96" s="15" t="inlineStr">
        <is>
          <t>북구</t>
        </is>
      </c>
      <c r="F96" s="16" t="inlineStr">
        <is>
          <t>북구 천곡동 산144-1 일원</t>
        </is>
      </c>
      <c r="G96" s="26" t="n">
        <v>2077</v>
      </c>
      <c r="H96" s="58" t="inlineStr">
        <is>
          <t>2025.12.31.
(환지처분)</t>
        </is>
      </c>
      <c r="I96" s="57" t="inlineStr">
        <is>
          <t>2030
(지연예정)</t>
        </is>
      </c>
      <c r="J96" s="57" t="n"/>
      <c r="K96" s="20" t="n">
        <v>0.2</v>
      </c>
      <c r="L96" s="96">
        <f>ROUNDDOWN(M96*25%,0)</f>
        <v/>
      </c>
      <c r="M96" s="99">
        <f>ROUNDDOWN(G96*K96,0)</f>
        <v/>
      </c>
      <c r="N96" s="97">
        <f>ROUND($G96*$K96/6,0)</f>
        <v/>
      </c>
      <c r="O96" s="97">
        <f>ROUND($G96*$K96/6,0)</f>
        <v/>
      </c>
      <c r="P96" s="97">
        <f>ROUND($G96*$K96/6,0)</f>
        <v/>
      </c>
      <c r="Q96" s="97">
        <f>ROUND($G96*$K96/6,0)</f>
        <v/>
      </c>
      <c r="R96" s="97">
        <f>ROUND($G96*$K96/6*50%,0)</f>
        <v/>
      </c>
      <c r="S96" s="97">
        <f>ROUND($G96*$K96/6*30%,0)</f>
        <v/>
      </c>
      <c r="T96" s="25" t="inlineStr">
        <is>
          <t>천곡초 최소 6실 이상 증축</t>
        </is>
      </c>
      <c r="U96" s="0" t="n">
        <v>35.6420099</v>
      </c>
      <c r="V96" s="0" t="n">
        <v>129.3245855</v>
      </c>
    </row>
    <row r="97" ht="40" customHeight="1" s="95">
      <c r="A97" s="60" t="n"/>
      <c r="B97" s="60" t="n"/>
      <c r="C97" s="60" t="inlineStr">
        <is>
          <t>미착공</t>
        </is>
      </c>
      <c r="D97" s="49" t="inlineStr">
        <is>
          <t>울산태화강변 공공주택지구 주택건설
(A-1BL)[행복주택, 영구임대]</t>
        </is>
      </c>
      <c r="E97" s="15" t="inlineStr">
        <is>
          <t>울주군</t>
        </is>
      </c>
      <c r="F97" s="16" t="inlineStr">
        <is>
          <t>울주군 범서읍 굴화리 일원</t>
        </is>
      </c>
      <c r="G97" s="26" t="n">
        <v>324</v>
      </c>
      <c r="H97" s="58" t="inlineStr">
        <is>
          <t>2027.5.</t>
        </is>
      </c>
      <c r="I97" s="57" t="n">
        <v>2027</v>
      </c>
      <c r="J97" s="57" t="n"/>
      <c r="K97" s="20" t="n">
        <v>0.05</v>
      </c>
      <c r="L97" s="96">
        <f>ROUNDDOWN(M97*25%,0)</f>
        <v/>
      </c>
      <c r="M97" s="99">
        <f>ROUNDDOWN(G97*K97,0)</f>
        <v/>
      </c>
      <c r="N97" s="97">
        <f>ROUND($G97*$K97/6,0)</f>
        <v/>
      </c>
      <c r="O97" s="97">
        <f>ROUND($G97*$K97/6,0)</f>
        <v/>
      </c>
      <c r="P97" s="97">
        <f>ROUND($G97*$K97/6,0)</f>
        <v/>
      </c>
      <c r="Q97" s="97">
        <f>ROUND($G97*$K97/6,0)</f>
        <v/>
      </c>
      <c r="R97" s="97">
        <f>ROUND($G97*$K97/6*50%,0)</f>
        <v/>
      </c>
      <c r="S97" s="97">
        <f>ROUND($G97*$K97/6*30%,0)</f>
        <v/>
      </c>
      <c r="T97" s="20" t="inlineStr">
        <is>
          <t>굴화초 배치 가능</t>
        </is>
      </c>
      <c r="U97" s="0" t="n">
        <v>35.5494305</v>
      </c>
      <c r="V97" s="0" t="n">
        <v>129.241242</v>
      </c>
    </row>
    <row r="98" ht="40" customHeight="1" s="95">
      <c r="A98" s="60" t="n"/>
      <c r="B98" s="60" t="n"/>
      <c r="C98" s="60" t="inlineStr">
        <is>
          <t>미착공</t>
        </is>
      </c>
      <c r="D98" s="49" t="inlineStr">
        <is>
          <t>울산태화강변 공공주택지구 주택건설
(A-2BL)[공공분양, 공공임대]</t>
        </is>
      </c>
      <c r="E98" s="15" t="inlineStr">
        <is>
          <t>울주군</t>
        </is>
      </c>
      <c r="F98" s="16" t="inlineStr">
        <is>
          <t>울주군 범서읍 굴화리 일원</t>
        </is>
      </c>
      <c r="G98" s="26" t="n">
        <v>435</v>
      </c>
      <c r="H98" s="58" t="inlineStr">
        <is>
          <t>2027.7.</t>
        </is>
      </c>
      <c r="I98" s="57" t="n">
        <v>2027</v>
      </c>
      <c r="J98" s="57" t="n"/>
      <c r="K98" s="20" t="n">
        <v>0.05</v>
      </c>
      <c r="L98" s="96">
        <f>ROUNDDOWN(M98*25%,0)</f>
        <v/>
      </c>
      <c r="M98" s="99">
        <f>ROUNDDOWN(G98*K98,0)</f>
        <v/>
      </c>
      <c r="N98" s="97">
        <f>ROUND($G98*$K98/6,0)</f>
        <v/>
      </c>
      <c r="O98" s="97">
        <f>ROUND($G98*$K98/6,0)</f>
        <v/>
      </c>
      <c r="P98" s="97">
        <f>ROUND($G98*$K98/6,0)</f>
        <v/>
      </c>
      <c r="Q98" s="97">
        <f>ROUND($G98*$K98/6,0)</f>
        <v/>
      </c>
      <c r="R98" s="97">
        <f>ROUND($G98*$K98/6*50%,0)</f>
        <v/>
      </c>
      <c r="S98" s="97">
        <f>ROUND($G98*$K98/6*30%,0)</f>
        <v/>
      </c>
      <c r="T98" s="20" t="inlineStr">
        <is>
          <t>굴화초 배치 가능</t>
        </is>
      </c>
      <c r="U98" s="0" t="n">
        <v>35.5494305</v>
      </c>
      <c r="V98" s="0" t="n">
        <v>129.241242</v>
      </c>
    </row>
    <row r="99" ht="126" customHeight="1" s="95">
      <c r="A99" s="60" t="n"/>
      <c r="B99" s="60" t="n"/>
      <c r="C99" s="60" t="inlineStr">
        <is>
          <t>착공(2025.3.)</t>
        </is>
      </c>
      <c r="D99" s="49" t="inlineStr">
        <is>
          <t>울산태화강변 공공주택지구 주택건설
(S-1BL)[민간분양]</t>
        </is>
      </c>
      <c r="E99" s="15" t="inlineStr">
        <is>
          <t>울주군</t>
        </is>
      </c>
      <c r="F99" s="16" t="inlineStr">
        <is>
          <t>울주군 범서읍 굴화리 일원</t>
        </is>
      </c>
      <c r="G99" s="26" t="n">
        <v>307</v>
      </c>
      <c r="H99" s="58" t="inlineStr">
        <is>
          <t>2025.3.~
2027.6.</t>
        </is>
      </c>
      <c r="I99" s="57" t="n">
        <v>2027</v>
      </c>
      <c r="J99" s="57" t="n"/>
      <c r="K99" s="20" t="n">
        <v>0.1</v>
      </c>
      <c r="L99" s="96">
        <f>ROUNDDOWN(M99*25%,0)</f>
        <v/>
      </c>
      <c r="M99" s="99">
        <f>ROUNDDOWN(G99*K99,0)</f>
        <v/>
      </c>
      <c r="N99" s="97">
        <f>ROUND($G99*$K99/6,0)</f>
        <v/>
      </c>
      <c r="O99" s="97">
        <f>ROUND($G99*$K99/6,0)</f>
        <v/>
      </c>
      <c r="P99" s="97">
        <f>ROUND($G99*$K99/6,0)</f>
        <v/>
      </c>
      <c r="Q99" s="97">
        <f>ROUND($G99*$K99/6,0)</f>
        <v/>
      </c>
      <c r="R99" s="97">
        <f>ROUND($G99*$K99/6*50%,0)</f>
        <v/>
      </c>
      <c r="S99" s="97">
        <f>ROUND($G99*$K99/6*30%,0)</f>
        <v/>
      </c>
      <c r="T99" s="20" t="inlineStr">
        <is>
          <t>굴화초 배치 가능</t>
        </is>
      </c>
      <c r="U99" s="0" t="n">
        <v>35.5494305</v>
      </c>
      <c r="V99" s="0" t="n">
        <v>129.241242</v>
      </c>
    </row>
    <row r="100" ht="40" customHeight="1" s="95">
      <c r="A100" s="60" t="n"/>
      <c r="B100" s="60" t="n"/>
      <c r="C100" s="60" t="inlineStr">
        <is>
          <t>미착공</t>
        </is>
      </c>
      <c r="D100" s="52" t="inlineStr">
        <is>
          <t>KTX 신도시 동문디이스트(M3)</t>
        </is>
      </c>
      <c r="E100" s="15" t="inlineStr">
        <is>
          <t>울주군</t>
        </is>
      </c>
      <c r="F100" s="38" t="inlineStr">
        <is>
          <t>울주군 삼남읍 교동리 1679-1 일원</t>
        </is>
      </c>
      <c r="G100" s="39" t="n">
        <v>1110</v>
      </c>
      <c r="H100" s="56" t="inlineStr">
        <is>
          <t>2025.~2028.이후</t>
        </is>
      </c>
      <c r="I100" s="70" t="inlineStr">
        <is>
          <t>지연예정</t>
        </is>
      </c>
      <c r="J100" s="70" t="n">
        <v>2028</v>
      </c>
      <c r="K100" s="37" t="n">
        <v>0.1</v>
      </c>
      <c r="L100" s="37">
        <f>ROUNDDOWN(M100*25%,0)</f>
        <v/>
      </c>
      <c r="M100" s="37">
        <f>ROUNDDOWN(G100*K100,0)</f>
        <v/>
      </c>
      <c r="N100" s="97">
        <f>ROUND($G100*$K100/6,0)</f>
        <v/>
      </c>
      <c r="O100" s="97">
        <f>ROUND($G100*$K100/6,0)</f>
        <v/>
      </c>
      <c r="P100" s="97">
        <f>ROUND($G100*$K100/6,0)</f>
        <v/>
      </c>
      <c r="Q100" s="97">
        <f>ROUND($G100*$K100/6,0)</f>
        <v/>
      </c>
      <c r="R100" s="97">
        <f>ROUND($G100*$K100/6*50%,0)</f>
        <v/>
      </c>
      <c r="S100" s="97">
        <f>ROUND($G100*$K100/6*30%,0)</f>
        <v/>
      </c>
      <c r="T100" s="37" t="inlineStr">
        <is>
          <t>삼남초 배치 가능</t>
        </is>
      </c>
      <c r="U100" s="0" t="n">
        <v>35.5566569</v>
      </c>
      <c r="V100" s="0" t="n">
        <v>129.1329946</v>
      </c>
    </row>
    <row r="101" ht="40" customHeight="1" s="95">
      <c r="A101" s="60" t="n"/>
      <c r="B101" s="60" t="n"/>
      <c r="C101" s="60" t="inlineStr">
        <is>
          <t>공사중</t>
        </is>
      </c>
      <c r="D101" s="50" t="inlineStr">
        <is>
          <t>KTX 울산역 한라비발디 오피스텔
(에피트스타시티)</t>
        </is>
      </c>
      <c r="E101" s="15" t="inlineStr">
        <is>
          <t>울주군</t>
        </is>
      </c>
      <c r="F101" s="24" t="inlineStr">
        <is>
          <t>울주군 삼남읍 교동리 1681 일원</t>
        </is>
      </c>
      <c r="G101" s="25" t="n">
        <v>602</v>
      </c>
      <c r="H101" s="59" t="inlineStr">
        <is>
          <t>2026.10.</t>
        </is>
      </c>
      <c r="I101" s="57" t="n">
        <v>2026</v>
      </c>
      <c r="J101" s="57" t="n"/>
      <c r="K101" s="25" t="n">
        <v>0.05</v>
      </c>
      <c r="L101" s="96">
        <f>ROUNDDOWN(M101*25%,0)</f>
        <v/>
      </c>
      <c r="M101" s="99">
        <f>ROUNDDOWN(G101*K101,0)</f>
        <v/>
      </c>
      <c r="N101" s="97">
        <f>ROUND($G101*$K101/6,0)</f>
        <v/>
      </c>
      <c r="O101" s="97">
        <f>ROUND($G101*$K101/6,0)</f>
        <v/>
      </c>
      <c r="P101" s="97">
        <f>ROUND($G101*$K101/6,0)</f>
        <v/>
      </c>
      <c r="Q101" s="97">
        <f>ROUND($G101*$K101/6,0)</f>
        <v/>
      </c>
      <c r="R101" s="97">
        <f>ROUND($G101*$K101/6*50%,0)</f>
        <v/>
      </c>
      <c r="S101" s="97">
        <f>ROUND($G101*$K101/6*30%,0)</f>
        <v/>
      </c>
      <c r="T101" s="25" t="inlineStr">
        <is>
          <t>삼남초 배치 가능</t>
        </is>
      </c>
      <c r="U101" s="0" t="n">
        <v>35.5554136</v>
      </c>
      <c r="V101" s="0" t="n">
        <v>129.1361694</v>
      </c>
    </row>
    <row r="102" ht="40" customHeight="1" s="95">
      <c r="A102" s="60" t="n"/>
      <c r="B102" s="60" t="n"/>
      <c r="C102" s="60" t="inlineStr">
        <is>
          <t>미착공</t>
        </is>
      </c>
      <c r="D102" s="50" t="inlineStr">
        <is>
          <t>교동리 1682-1 오피스텔</t>
        </is>
      </c>
      <c r="E102" s="15" t="inlineStr">
        <is>
          <t>울주군</t>
        </is>
      </c>
      <c r="F102" s="24" t="inlineStr">
        <is>
          <t>울주군 삼남읍 교동리 1682-1 일원</t>
        </is>
      </c>
      <c r="G102" s="25" t="n">
        <v>637</v>
      </c>
      <c r="H102" s="68" t="inlineStr">
        <is>
          <t>미정</t>
        </is>
      </c>
      <c r="I102" s="57" t="n">
        <v>2028</v>
      </c>
      <c r="J102" s="57" t="n"/>
      <c r="K102" s="25" t="n">
        <v>0.05</v>
      </c>
      <c r="L102" s="96">
        <f>ROUNDDOWN(M102*25%,0)</f>
        <v/>
      </c>
      <c r="M102" s="99">
        <f>ROUNDDOWN(G102*K102,0)</f>
        <v/>
      </c>
      <c r="N102" s="97">
        <f>ROUND($G102*$K102/6,0)</f>
        <v/>
      </c>
      <c r="O102" s="97">
        <f>ROUND($G102*$K102/6,0)</f>
        <v/>
      </c>
      <c r="P102" s="97">
        <f>ROUND($G102*$K102/6,0)</f>
        <v/>
      </c>
      <c r="Q102" s="97">
        <f>ROUND($G102*$K102/6,0)</f>
        <v/>
      </c>
      <c r="R102" s="97">
        <f>ROUND($G102*$K102/6*50%,0)</f>
        <v/>
      </c>
      <c r="S102" s="97">
        <f>ROUND($G102*$K102/6*30%,0)</f>
        <v/>
      </c>
      <c r="T102" s="25" t="inlineStr">
        <is>
          <t>삼남초 배치 가능</t>
        </is>
      </c>
      <c r="U102" s="0" t="n">
        <v>35.5543777</v>
      </c>
      <c r="V102" s="0" t="n">
        <v>129.1353327</v>
      </c>
    </row>
    <row r="103" ht="40" customHeight="1" s="95">
      <c r="A103" s="60" t="n"/>
      <c r="B103" s="60" t="n"/>
      <c r="C103" s="60" t="inlineStr">
        <is>
          <t>미착공</t>
        </is>
      </c>
      <c r="D103" s="52" t="inlineStr">
        <is>
          <t>교동리 355-2 일원 주거복합</t>
        </is>
      </c>
      <c r="E103" s="15" t="inlineStr">
        <is>
          <t>울주군</t>
        </is>
      </c>
      <c r="F103" s="38" t="inlineStr">
        <is>
          <t>울주군 삼남읍 교동리 355-2 일원</t>
        </is>
      </c>
      <c r="G103" s="37" t="n">
        <v>472</v>
      </c>
      <c r="H103" s="54" t="inlineStr">
        <is>
          <t>2027.2.이후</t>
        </is>
      </c>
      <c r="I103" s="70" t="inlineStr">
        <is>
          <t>지연예정</t>
        </is>
      </c>
      <c r="J103" s="70" t="n">
        <v>2028</v>
      </c>
      <c r="K103" s="37" t="n">
        <v>0.1</v>
      </c>
      <c r="L103" s="37">
        <f>ROUNDDOWN(M103*25%,0)</f>
        <v/>
      </c>
      <c r="M103" s="37">
        <f>ROUNDDOWN(G103*K103,0)</f>
        <v/>
      </c>
      <c r="N103" s="97">
        <f>ROUND($G103*$K103/6,0)</f>
        <v/>
      </c>
      <c r="O103" s="97">
        <f>ROUND($G103*$K103/6,0)</f>
        <v/>
      </c>
      <c r="P103" s="97">
        <f>ROUND($G103*$K103/6,0)</f>
        <v/>
      </c>
      <c r="Q103" s="97">
        <f>ROUND($G103*$K103/6,0)</f>
        <v/>
      </c>
      <c r="R103" s="97">
        <f>ROUND($G103*$K103/6*50%,0)</f>
        <v/>
      </c>
      <c r="S103" s="97">
        <f>ROUND($G103*$K103/6*30%,0)</f>
        <v/>
      </c>
      <c r="T103" s="37" t="inlineStr">
        <is>
          <t>영화초 배치 가능</t>
        </is>
      </c>
      <c r="U103" s="0" t="n">
        <v>35.5619019</v>
      </c>
      <c r="V103" s="0" t="n">
        <v>129.1215139</v>
      </c>
    </row>
    <row r="104" ht="40" customHeight="1" s="95">
      <c r="A104" s="60" t="n"/>
      <c r="B104" s="60" t="n"/>
      <c r="C104" s="60" t="inlineStr">
        <is>
          <t>공사중지</t>
        </is>
      </c>
      <c r="D104" s="49" t="inlineStr">
        <is>
          <t>KTX 우방아이유쉘퍼스트</t>
        </is>
      </c>
      <c r="E104" s="15" t="inlineStr">
        <is>
          <t>울주군</t>
        </is>
      </c>
      <c r="F104" s="16" t="inlineStr">
        <is>
          <t>울주군 삼남읍 신화리 1601-2 일원</t>
        </is>
      </c>
      <c r="G104" s="26" t="n">
        <v>523</v>
      </c>
      <c r="H104" s="58" t="inlineStr">
        <is>
          <t>2026.12.</t>
        </is>
      </c>
      <c r="I104" s="57" t="n">
        <v>2026</v>
      </c>
      <c r="J104" s="57" t="n"/>
      <c r="K104" s="20" t="n">
        <v>0.1</v>
      </c>
      <c r="L104" s="96">
        <f>ROUNDDOWN(M104*25%,0)</f>
        <v/>
      </c>
      <c r="M104" s="99">
        <f>ROUNDDOWN(G104*K104,0)</f>
        <v/>
      </c>
      <c r="N104" s="97">
        <f>ROUND($G104*$K104/6,0)</f>
        <v/>
      </c>
      <c r="O104" s="97">
        <f>ROUND($G104*$K104/6,0)</f>
        <v/>
      </c>
      <c r="P104" s="97">
        <f>ROUND($G104*$K104/6,0)</f>
        <v/>
      </c>
      <c r="Q104" s="97">
        <f>ROUND($G104*$K104/6,0)</f>
        <v/>
      </c>
      <c r="R104" s="97">
        <f>ROUND($G104*$K104/6*50%,0)</f>
        <v/>
      </c>
      <c r="S104" s="97">
        <f>ROUND($G104*$K104/6*30%,0)</f>
        <v/>
      </c>
      <c r="T104" s="20" t="inlineStr">
        <is>
          <t>삼남초 배치 가능</t>
        </is>
      </c>
      <c r="U104" s="0" t="n">
        <v>35.5535884</v>
      </c>
      <c r="V104" s="0" t="n">
        <v>129.1390821</v>
      </c>
    </row>
    <row r="105" ht="40" customHeight="1" s="95">
      <c r="A105" s="60" t="n"/>
      <c r="B105" s="60" t="n"/>
      <c r="C105" s="60" t="inlineStr">
        <is>
          <t>미착공</t>
        </is>
      </c>
      <c r="D105" s="49" t="inlineStr">
        <is>
          <t>씨엠베르체</t>
        </is>
      </c>
      <c r="E105" s="15" t="inlineStr">
        <is>
          <t>울주군</t>
        </is>
      </c>
      <c r="F105" s="16" t="inlineStr">
        <is>
          <t>울주군 삼남읍 신화리 1608-4 일원</t>
        </is>
      </c>
      <c r="G105" s="26" t="n">
        <v>434</v>
      </c>
      <c r="H105" s="58" t="inlineStr">
        <is>
          <t>2027.3.이후</t>
        </is>
      </c>
      <c r="I105" s="70" t="inlineStr">
        <is>
          <t>지연예정</t>
        </is>
      </c>
      <c r="J105" s="70" t="n">
        <v>2028</v>
      </c>
      <c r="K105" s="20" t="n">
        <v>0.1</v>
      </c>
      <c r="L105" s="96">
        <f>ROUNDDOWN(M105*25%,0)</f>
        <v/>
      </c>
      <c r="M105" s="99">
        <f>ROUNDDOWN(G105*K105,0)</f>
        <v/>
      </c>
      <c r="N105" s="97">
        <f>ROUND($G105*$K105/6,0)</f>
        <v/>
      </c>
      <c r="O105" s="97">
        <f>ROUND($G105*$K105/6,0)</f>
        <v/>
      </c>
      <c r="P105" s="97">
        <f>ROUND($G105*$K105/6,0)</f>
        <v/>
      </c>
      <c r="Q105" s="97">
        <f>ROUND($G105*$K105/6,0)</f>
        <v/>
      </c>
      <c r="R105" s="97">
        <f>ROUND($G105*$K105/6*50%,0)</f>
        <v/>
      </c>
      <c r="S105" s="97">
        <f>ROUND($G105*$K105/6*30%,0)</f>
        <v/>
      </c>
      <c r="T105" s="20" t="inlineStr">
        <is>
          <t>삼남초 배치 가능</t>
        </is>
      </c>
      <c r="U105" s="0" t="n">
        <v>35.5454043</v>
      </c>
      <c r="V105" s="0" t="n">
        <v>129.1392716</v>
      </c>
    </row>
    <row r="106" ht="40" customHeight="1" s="95">
      <c r="A106" s="60" t="n"/>
      <c r="B106" s="60" t="n"/>
      <c r="C106" s="60" t="inlineStr">
        <is>
          <t>미착공</t>
        </is>
      </c>
      <c r="D106" s="49" t="inlineStr">
        <is>
          <t>KTX 역세권 힐스테이트(M5)</t>
        </is>
      </c>
      <c r="E106" s="15" t="inlineStr">
        <is>
          <t>울주군</t>
        </is>
      </c>
      <c r="F106" s="16" t="inlineStr">
        <is>
          <t>울주군 삼남읍 신화리 45 일원</t>
        </is>
      </c>
      <c r="G106" s="26" t="n">
        <v>734</v>
      </c>
      <c r="H106" s="58" t="inlineStr">
        <is>
          <t>2025.~2028.이후</t>
        </is>
      </c>
      <c r="I106" s="70" t="inlineStr">
        <is>
          <t>지연예정</t>
        </is>
      </c>
      <c r="J106" s="70" t="n">
        <v>2028</v>
      </c>
      <c r="K106" s="20" t="n">
        <v>0.1</v>
      </c>
      <c r="L106" s="96">
        <f>ROUNDDOWN(M106*25%,0)</f>
        <v/>
      </c>
      <c r="M106" s="99">
        <f>ROUNDDOWN(G106*K106,0)</f>
        <v/>
      </c>
      <c r="N106" s="97">
        <f>ROUND($G106*$K106/6,0)</f>
        <v/>
      </c>
      <c r="O106" s="97">
        <f>ROUND($G106*$K106/6,0)</f>
        <v/>
      </c>
      <c r="P106" s="97">
        <f>ROUND($G106*$K106/6,0)</f>
        <v/>
      </c>
      <c r="Q106" s="97">
        <f>ROUND($G106*$K106/6,0)</f>
        <v/>
      </c>
      <c r="R106" s="97">
        <f>ROUND($G106*$K106/6*50%,0)</f>
        <v/>
      </c>
      <c r="S106" s="97">
        <f>ROUND($G106*$K106/6*30%,0)</f>
        <v/>
      </c>
      <c r="T106" s="28" t="inlineStr">
        <is>
          <t>삼남초 배치 가능</t>
        </is>
      </c>
      <c r="U106" s="0" t="n">
        <v>35.550184</v>
      </c>
      <c r="V106" s="0" t="n">
        <v>129.1436255</v>
      </c>
    </row>
    <row r="107" ht="40" customHeight="1" s="95">
      <c r="A107" s="60" t="n"/>
      <c r="B107" s="60" t="n"/>
      <c r="C107" s="60" t="inlineStr">
        <is>
          <t>공사중단</t>
        </is>
      </c>
      <c r="D107" s="49" t="inlineStr">
        <is>
          <t>진하오션뷰 한양립스
(진하오션뷰지역주택조합)</t>
        </is>
      </c>
      <c r="E107" s="15" t="inlineStr">
        <is>
          <t>울주군</t>
        </is>
      </c>
      <c r="F107" s="16" t="inlineStr">
        <is>
          <t>울주군 서생면 진하리 78-9일원</t>
        </is>
      </c>
      <c r="G107" s="20" t="n">
        <v>528</v>
      </c>
      <c r="H107" s="58" t="inlineStr">
        <is>
          <t>2021.11.23.
~2027.10.이후</t>
        </is>
      </c>
      <c r="I107" s="57" t="inlineStr">
        <is>
          <t>지연예정</t>
        </is>
      </c>
      <c r="J107" s="70" t="n">
        <v>2028</v>
      </c>
      <c r="K107" s="20" t="n">
        <v>0.1</v>
      </c>
      <c r="L107" s="96">
        <f>ROUNDDOWN(M107*25%,0)</f>
        <v/>
      </c>
      <c r="M107" s="99">
        <f>ROUNDDOWN(G107*K107,0)</f>
        <v/>
      </c>
      <c r="N107" s="97">
        <f>ROUND($G107*$K107/6,0)</f>
        <v/>
      </c>
      <c r="O107" s="97">
        <f>ROUND($G107*$K107/6,0)</f>
        <v/>
      </c>
      <c r="P107" s="97">
        <f>ROUND($G107*$K107/6,0)</f>
        <v/>
      </c>
      <c r="Q107" s="97">
        <f>ROUND($G107*$K107/6,0)</f>
        <v/>
      </c>
      <c r="R107" s="97">
        <f>ROUND($G107*$K107/6*50%,0)</f>
        <v/>
      </c>
      <c r="S107" s="97">
        <f>ROUND($G107*$K107/6*30%,0)</f>
        <v/>
      </c>
      <c r="T107" s="28" t="inlineStr">
        <is>
          <t>성동초 배치 가능</t>
        </is>
      </c>
      <c r="U107" s="0" t="n">
        <v>35.3844317</v>
      </c>
      <c r="V107" s="0" t="n">
        <v>129.344781</v>
      </c>
    </row>
    <row r="108" ht="40" customHeight="1" s="95">
      <c r="A108" s="60" t="n"/>
      <c r="B108" s="60" t="n"/>
      <c r="C108" s="60" t="inlineStr">
        <is>
          <t>미착공</t>
        </is>
      </c>
      <c r="D108" s="48" t="inlineStr">
        <is>
          <t>역세권 M6 주상복합</t>
        </is>
      </c>
      <c r="E108" s="15" t="inlineStr">
        <is>
          <t>울주군</t>
        </is>
      </c>
      <c r="F108" s="38" t="inlineStr">
        <is>
          <t>울주군 언양읍 반송리 1030 일원</t>
        </is>
      </c>
      <c r="G108" s="26" t="n">
        <v>1340</v>
      </c>
      <c r="H108" s="56" t="inlineStr">
        <is>
          <t>2025.~2028.이후</t>
        </is>
      </c>
      <c r="I108" s="70" t="inlineStr">
        <is>
          <t>지연예정</t>
        </is>
      </c>
      <c r="J108" s="70" t="n">
        <v>2028</v>
      </c>
      <c r="K108" s="37" t="n">
        <v>0.1</v>
      </c>
      <c r="L108" s="37">
        <f>ROUNDDOWN(M108*25%,0)</f>
        <v/>
      </c>
      <c r="M108" s="37">
        <f>ROUNDDOWN(G108*K108,0)</f>
        <v/>
      </c>
      <c r="N108" s="97">
        <f>ROUND($G108*$K108/6,0)</f>
        <v/>
      </c>
      <c r="O108" s="97">
        <f>ROUND($G108*$K108/6,0)</f>
        <v/>
      </c>
      <c r="P108" s="97">
        <f>ROUND($G108*$K108/6,0)</f>
        <v/>
      </c>
      <c r="Q108" s="97">
        <f>ROUND($G108*$K108/6,0)</f>
        <v/>
      </c>
      <c r="R108" s="97">
        <f>ROUND($G108*$K108/6*50%,0)</f>
        <v/>
      </c>
      <c r="S108" s="97">
        <f>ROUND($G108*$K108/6*30%,0)</f>
        <v/>
      </c>
      <c r="T108" s="37" t="inlineStr">
        <is>
          <t>삼남초 배치 가능</t>
        </is>
      </c>
      <c r="U108" s="0" t="n">
        <v>35.5484975</v>
      </c>
      <c r="V108" s="0" t="n">
        <v>129.1453341</v>
      </c>
    </row>
    <row r="109" ht="40" customHeight="1" s="95">
      <c r="A109" s="60" t="n"/>
      <c r="B109" s="60" t="n"/>
      <c r="C109" s="60" t="inlineStr">
        <is>
          <t>미착공</t>
        </is>
      </c>
      <c r="D109" s="49" t="inlineStr">
        <is>
          <t>대안3지구 도시개발사업(자이)
(택지조성-금아건설, 시공-푸르지오 협의중)</t>
        </is>
      </c>
      <c r="E109" s="20" t="inlineStr">
        <is>
          <t>울주군</t>
        </is>
      </c>
      <c r="F109" s="16" t="inlineStr">
        <is>
          <t>울주군 온양읍 대안리 79 일원</t>
        </is>
      </c>
      <c r="G109" s="29" t="n">
        <v>1018</v>
      </c>
      <c r="H109" s="58" t="inlineStr">
        <is>
          <t>2028.이후</t>
        </is>
      </c>
      <c r="I109" s="57" t="inlineStr">
        <is>
          <t>지연예정</t>
        </is>
      </c>
      <c r="J109" s="57" t="n">
        <v>2028</v>
      </c>
      <c r="K109" s="20" t="n">
        <v>0.15</v>
      </c>
      <c r="L109" s="96">
        <f>ROUNDDOWN(M109*25%,0)</f>
        <v/>
      </c>
      <c r="M109" s="99">
        <f>ROUNDDOWN(G109*K109,0)</f>
        <v/>
      </c>
      <c r="N109" s="97">
        <f>ROUND($G109*$K109/6,0)</f>
        <v/>
      </c>
      <c r="O109" s="97">
        <f>ROUND($G109*$K109/6,0)</f>
        <v/>
      </c>
      <c r="P109" s="97">
        <f>ROUND($G109*$K109/6,0)</f>
        <v/>
      </c>
      <c r="Q109" s="97">
        <f>ROUND($G109*$K109/6,0)</f>
        <v/>
      </c>
      <c r="R109" s="97">
        <f>ROUND($G109*$K109/6*50%,0)</f>
        <v/>
      </c>
      <c r="S109" s="97">
        <f>ROUND($G109*$K109/6*30%,0)</f>
        <v/>
      </c>
      <c r="T109" s="20" t="inlineStr">
        <is>
          <t>온남초 배치 가능</t>
        </is>
      </c>
      <c r="U109" s="0" t="n">
        <v>35.4125435</v>
      </c>
      <c r="V109" s="0" t="n">
        <v>129.2934445</v>
      </c>
    </row>
    <row r="110" ht="40" customHeight="1" s="95">
      <c r="A110" s="60" t="n"/>
      <c r="B110" s="60" t="n"/>
      <c r="C110" s="60" t="inlineStr">
        <is>
          <t>미착공</t>
        </is>
      </c>
      <c r="D110" s="48" t="inlineStr">
        <is>
          <t>망양2지구 10B-1L 공동주택</t>
        </is>
      </c>
      <c r="E110" s="15" t="inlineStr">
        <is>
          <t>울주군</t>
        </is>
      </c>
      <c r="F110" s="38" t="inlineStr">
        <is>
          <t>울주군 온양읍 망양리 12 일원</t>
        </is>
      </c>
      <c r="G110" s="37" t="n">
        <v>346</v>
      </c>
      <c r="H110" s="56" t="inlineStr">
        <is>
          <t>2024.4.~
2026.8.이후</t>
        </is>
      </c>
      <c r="I110" s="70" t="inlineStr">
        <is>
          <t>지연예정</t>
        </is>
      </c>
      <c r="J110" s="70" t="n">
        <v>2028</v>
      </c>
      <c r="K110" s="37" t="n">
        <v>0.1</v>
      </c>
      <c r="L110" s="96">
        <f>ROUNDDOWN(M110*25%,0)</f>
        <v/>
      </c>
      <c r="M110" s="99">
        <f>ROUNDDOWN(G110*K110,0)</f>
        <v/>
      </c>
      <c r="N110" s="97">
        <f>ROUND($G110*$K110/6,0)</f>
        <v/>
      </c>
      <c r="O110" s="97">
        <f>ROUND($G110*$K110/6,0)</f>
        <v/>
      </c>
      <c r="P110" s="97">
        <f>ROUND($G110*$K110/6,0)</f>
        <v/>
      </c>
      <c r="Q110" s="97">
        <f>ROUND($G110*$K110/6,0)</f>
        <v/>
      </c>
      <c r="R110" s="97">
        <f>ROUND($G110*$K110/6*50%,0)</f>
        <v/>
      </c>
      <c r="S110" s="97">
        <f>ROUND($G110*$K110/6*30%,0)</f>
        <v/>
      </c>
      <c r="T110" s="37" t="inlineStr">
        <is>
          <t>온양초(원거리)</t>
        </is>
      </c>
      <c r="U110" s="0" t="n">
        <v>35.4585637</v>
      </c>
      <c r="V110" s="0" t="n">
        <v>129.293955</v>
      </c>
    </row>
    <row r="111" ht="40" customHeight="1" s="95">
      <c r="A111" s="60" t="n"/>
      <c r="B111" s="60" t="n"/>
      <c r="C111" s="60" t="inlineStr">
        <is>
          <t>미착공</t>
        </is>
      </c>
      <c r="D111" s="48" t="inlineStr">
        <is>
          <t>울산e지아아파트 신축공사(임대)</t>
        </is>
      </c>
      <c r="E111" s="37" t="inlineStr">
        <is>
          <t>울주군</t>
        </is>
      </c>
      <c r="F111" s="38" t="inlineStr">
        <is>
          <t>울주군 온양읍 망양리 773번지 일원</t>
        </is>
      </c>
      <c r="G111" s="37" t="n">
        <v>448</v>
      </c>
      <c r="H111" s="56" t="inlineStr">
        <is>
          <t>2025.3.~
2027.5.</t>
        </is>
      </c>
      <c r="I111" s="55" t="n">
        <v>2027</v>
      </c>
      <c r="J111" s="55" t="n"/>
      <c r="K111" s="37" t="n">
        <v>0.05</v>
      </c>
      <c r="L111" s="96">
        <f>ROUNDDOWN(M111*25%,0)</f>
        <v/>
      </c>
      <c r="M111" s="96">
        <f>ROUNDDOWN(G111*K111,0)</f>
        <v/>
      </c>
      <c r="N111" s="97">
        <f>ROUND($G111*$K111/6,0)</f>
        <v/>
      </c>
      <c r="O111" s="97">
        <f>ROUND($G111*$K111/6,0)</f>
        <v/>
      </c>
      <c r="P111" s="97">
        <f>ROUND($G111*$K111/6,0)</f>
        <v/>
      </c>
      <c r="Q111" s="97">
        <f>ROUND($G111*$K111/6,0)</f>
        <v/>
      </c>
      <c r="R111" s="97">
        <f>ROUND($G111*$K111/6*50%,0)</f>
        <v/>
      </c>
      <c r="S111" s="97">
        <f>ROUND($G111*$K111/6*30%,0)</f>
        <v/>
      </c>
      <c r="T111" s="37" t="inlineStr">
        <is>
          <t>온양초(원거리)</t>
        </is>
      </c>
      <c r="U111" s="0" t="n">
        <v>35.4551224</v>
      </c>
      <c r="V111" s="0" t="n">
        <v>129.2964595</v>
      </c>
    </row>
    <row r="112" ht="40" customHeight="1" s="95">
      <c r="A112" s="60" t="n"/>
      <c r="B112" s="60" t="inlineStr">
        <is>
          <t>완료</t>
        </is>
      </c>
      <c r="C112" s="60" t="inlineStr">
        <is>
          <t>미착공</t>
        </is>
      </c>
      <c r="D112" s="49" t="inlineStr">
        <is>
          <t>온양 발리 352 일원 민간임대주택</t>
        </is>
      </c>
      <c r="E112" s="20" t="inlineStr">
        <is>
          <t>울주군</t>
        </is>
      </c>
      <c r="F112" s="16" t="inlineStr">
        <is>
          <t>울주군 온양읍 발리 352 일원</t>
        </is>
      </c>
      <c r="G112" s="26" t="n">
        <v>747</v>
      </c>
      <c r="H112" s="58" t="inlineStr">
        <is>
          <t>미정(2028)</t>
        </is>
      </c>
      <c r="I112" s="70" t="inlineStr">
        <is>
          <t>지연예정</t>
        </is>
      </c>
      <c r="J112" s="70" t="n">
        <v>2028</v>
      </c>
      <c r="K112" s="20" t="n">
        <v>0.1</v>
      </c>
      <c r="L112" s="96">
        <f>ROUNDDOWN(M112*25%,0)</f>
        <v/>
      </c>
      <c r="M112" s="99">
        <f>ROUNDDOWN(G112*K112,0)</f>
        <v/>
      </c>
      <c r="N112" s="97">
        <f>ROUND($G112*$K112/6,0)</f>
        <v/>
      </c>
      <c r="O112" s="97">
        <f>ROUND($G112*$K112/6,0)</f>
        <v/>
      </c>
      <c r="P112" s="97">
        <f>ROUND($G112*$K112/6,0)</f>
        <v/>
      </c>
      <c r="Q112" s="97">
        <f>ROUND($G112*$K112/6,0)</f>
        <v/>
      </c>
      <c r="R112" s="97">
        <f>ROUND($G112*$K112/6*50%,0)</f>
        <v/>
      </c>
      <c r="S112" s="97">
        <f>ROUND($G112*$K112/6*30%,0)</f>
        <v/>
      </c>
      <c r="T112" s="20" t="inlineStr">
        <is>
          <t>온남초 배치 가능</t>
        </is>
      </c>
      <c r="U112" s="0" t="n">
        <v>35.4085849</v>
      </c>
      <c r="V112" s="0" t="n">
        <v>129.3005567</v>
      </c>
    </row>
    <row r="113" ht="40" customHeight="1" s="95">
      <c r="A113" s="60" t="n"/>
      <c r="B113" s="60" t="inlineStr">
        <is>
          <t>완료</t>
        </is>
      </c>
      <c r="C113" s="60" t="inlineStr">
        <is>
          <t>재착공</t>
        </is>
      </c>
      <c r="D113" s="88" t="inlineStr">
        <is>
          <t>남울산노르웨이숲
(온양발리스타조합</t>
        </is>
      </c>
      <c r="E113" s="20" t="inlineStr">
        <is>
          <t>울주군</t>
        </is>
      </c>
      <c r="F113" s="16" t="inlineStr">
        <is>
          <t>울주군 온양읍 발리 538-11 일원</t>
        </is>
      </c>
      <c r="G113" s="26" t="n">
        <v>848</v>
      </c>
      <c r="H113" s="58" t="inlineStr">
        <is>
          <t>2026.6.</t>
        </is>
      </c>
      <c r="I113" s="57" t="n">
        <v>2026</v>
      </c>
      <c r="J113" s="57" t="n"/>
      <c r="K113" s="20" t="n">
        <v>0.15</v>
      </c>
      <c r="L113" s="96">
        <f>ROUNDDOWN(M113*25%,0)</f>
        <v/>
      </c>
      <c r="M113" s="99">
        <f>ROUNDDOWN(G113*K113,0)</f>
        <v/>
      </c>
      <c r="N113" s="97">
        <f>ROUND($G113*$K113/6,0)</f>
        <v/>
      </c>
      <c r="O113" s="97">
        <f>ROUND($G113*$K113/6,0)</f>
        <v/>
      </c>
      <c r="P113" s="97">
        <f>ROUND($G113*$K113/6,0)</f>
        <v/>
      </c>
      <c r="Q113" s="97">
        <f>ROUND($G113*$K113/6,0)</f>
        <v/>
      </c>
      <c r="R113" s="97">
        <f>ROUND($G113*$K113/6*50%,0)</f>
        <v/>
      </c>
      <c r="S113" s="97">
        <f>ROUND($G113*$K113/6*30%,0)</f>
        <v/>
      </c>
      <c r="T113" s="20" t="inlineStr">
        <is>
          <t>온남초 배치 가능</t>
        </is>
      </c>
      <c r="U113" s="0" t="n">
        <v>35.4108686</v>
      </c>
      <c r="V113" s="0" t="n">
        <v>129.2978446</v>
      </c>
    </row>
    <row r="114" ht="40" customFormat="1" customHeight="1" s="3">
      <c r="A114" s="60" t="inlineStr">
        <is>
          <t>청량초 14m</t>
        </is>
      </c>
      <c r="B114" s="60" t="inlineStr">
        <is>
          <t>완료</t>
        </is>
      </c>
      <c r="C114" s="60" t="inlineStr">
        <is>
          <t>공사중지</t>
        </is>
      </c>
      <c r="D114" s="49" t="inlineStr">
        <is>
          <t>울산 덕정 신일해피트리 더루츠
(세정토건개발)</t>
        </is>
      </c>
      <c r="E114" s="20" t="inlineStr">
        <is>
          <t>울주군</t>
        </is>
      </c>
      <c r="F114" s="30" t="inlineStr">
        <is>
          <t>울주군 청량읍 덕하리 409-9번지 일원</t>
        </is>
      </c>
      <c r="G114" s="26" t="n">
        <v>672</v>
      </c>
      <c r="H114" s="58" t="inlineStr">
        <is>
          <t>미정(공사중지)</t>
        </is>
      </c>
      <c r="I114" s="57" t="inlineStr">
        <is>
          <t>미정</t>
        </is>
      </c>
      <c r="J114" s="57" t="n">
        <v>2030</v>
      </c>
      <c r="K114" s="20" t="n">
        <v>0.13</v>
      </c>
      <c r="L114" s="96">
        <f>ROUNDDOWN(M114*25%,0)</f>
        <v/>
      </c>
      <c r="M114" s="99">
        <f>ROUNDDOWN(G114*K114,0)</f>
        <v/>
      </c>
      <c r="N114" s="97">
        <f>ROUND($G114*$K114/6,0)</f>
        <v/>
      </c>
      <c r="O114" s="97">
        <f>ROUND($G114*$K114/6,0)</f>
        <v/>
      </c>
      <c r="P114" s="97">
        <f>ROUND($G114*$K114/6,0)</f>
        <v/>
      </c>
      <c r="Q114" s="97">
        <f>ROUND($G114*$K114/6,0)</f>
        <v/>
      </c>
      <c r="R114" s="97">
        <f>ROUND($G114*$K114/6*50%,0)</f>
        <v/>
      </c>
      <c r="S114" s="97">
        <f>ROUND($G114*$K114/6*30%,0)</f>
        <v/>
      </c>
      <c r="T114" s="20" t="inlineStr">
        <is>
          <t>청량초 배치 가능</t>
        </is>
      </c>
      <c r="U114" s="0" t="n">
        <v>35.4865764</v>
      </c>
      <c r="V114" s="0" t="n">
        <v>129.295543</v>
      </c>
    </row>
    <row r="115" ht="40" customHeight="1" s="95">
      <c r="A115" s="60" t="n"/>
      <c r="B115" s="60" t="n"/>
      <c r="C115" s="60" t="inlineStr">
        <is>
          <t>착공</t>
        </is>
      </c>
      <c r="D115" s="49" t="inlineStr">
        <is>
          <t>다운 한양립스
(다운지역주택조합)</t>
        </is>
      </c>
      <c r="E115" s="20" t="inlineStr">
        <is>
          <t>중구</t>
        </is>
      </c>
      <c r="F115" s="16" t="inlineStr">
        <is>
          <t>중구 다운동 741-2번지 일원</t>
        </is>
      </c>
      <c r="G115" s="26" t="n">
        <v>401</v>
      </c>
      <c r="H115" s="58" t="inlineStr">
        <is>
          <t>2026.1.</t>
        </is>
      </c>
      <c r="I115" s="57" t="n">
        <v>2026</v>
      </c>
      <c r="J115" s="57" t="n"/>
      <c r="K115" s="20" t="n">
        <v>0.18</v>
      </c>
      <c r="L115" s="96">
        <f>ROUNDDOWN(M115*25%,0)</f>
        <v/>
      </c>
      <c r="M115" s="99">
        <f>ROUNDDOWN(G115*K115,0)</f>
        <v/>
      </c>
      <c r="N115" s="97">
        <f>ROUND($G115*$K115/6,0)</f>
        <v/>
      </c>
      <c r="O115" s="97">
        <f>ROUND($G115*$K115/6,0)</f>
        <v/>
      </c>
      <c r="P115" s="97">
        <f>ROUND($G115*$K115/6,0)</f>
        <v/>
      </c>
      <c r="Q115" s="97">
        <f>ROUND($G115*$K115/6,0)</f>
        <v/>
      </c>
      <c r="R115" s="97">
        <f>ROUND($G115*$K115/6*50%,0)</f>
        <v/>
      </c>
      <c r="S115" s="97">
        <f>ROUND($G115*$K115/6*30%,0)</f>
        <v/>
      </c>
      <c r="T115" s="20" t="inlineStr">
        <is>
          <t>다전초 배치 가능</t>
        </is>
      </c>
      <c r="U115" s="0" t="n">
        <v>35.5652235</v>
      </c>
      <c r="V115" s="0" t="n">
        <v>129.2655731</v>
      </c>
    </row>
    <row r="116" ht="40" customHeight="1" s="95">
      <c r="A116" s="60" t="n"/>
      <c r="B116" s="60" t="n"/>
      <c r="C116" s="60" t="inlineStr">
        <is>
          <t>착공</t>
        </is>
      </c>
      <c r="D116" s="48" t="inlineStr">
        <is>
          <t>반구동 공공지원 민간임대주택 신축</t>
        </is>
      </c>
      <c r="E116" s="37" t="inlineStr">
        <is>
          <t>중구</t>
        </is>
      </c>
      <c r="F116" s="38" t="inlineStr">
        <is>
          <t>중구 반구동 447-19 일원</t>
        </is>
      </c>
      <c r="G116" s="37" t="n">
        <v>178</v>
      </c>
      <c r="H116" s="56" t="inlineStr">
        <is>
          <t>2023.6.~
2026.3.</t>
        </is>
      </c>
      <c r="I116" s="70" t="n">
        <v>2026</v>
      </c>
      <c r="J116" s="41" t="n"/>
      <c r="K116" s="37" t="n">
        <v>0.07000000000000001</v>
      </c>
      <c r="L116" s="96">
        <f>ROUNDDOWN(M116*25%,0)</f>
        <v/>
      </c>
      <c r="M116" s="99">
        <f>ROUNDDOWN(G116*K116,0)</f>
        <v/>
      </c>
      <c r="N116" s="97">
        <f>ROUND($G116*$K116/6,0)</f>
        <v/>
      </c>
      <c r="O116" s="97">
        <f>ROUND($G116*$K116/6,0)</f>
        <v/>
      </c>
      <c r="P116" s="97">
        <f>ROUND($G116*$K116/6,0)</f>
        <v/>
      </c>
      <c r="Q116" s="97">
        <f>ROUND($G116*$K116/6,0)</f>
        <v/>
      </c>
      <c r="R116" s="97">
        <f>ROUND($G116*$K116/6*50%,0)</f>
        <v/>
      </c>
      <c r="S116" s="97">
        <f>ROUND($G116*$K116/6*30%,0)</f>
        <v/>
      </c>
      <c r="T116" s="37" t="inlineStr">
        <is>
          <t>학성초 배치 가능</t>
        </is>
      </c>
      <c r="U116" s="0" t="n">
        <v>35.5577027</v>
      </c>
      <c r="V116" s="0" t="n">
        <v>129.342207</v>
      </c>
    </row>
    <row r="117" ht="40" customHeight="1" s="95">
      <c r="A117" s="60" t="inlineStr">
        <is>
          <t>내황초 25m
내황유 43m</t>
        </is>
      </c>
      <c r="B117" s="60" t="inlineStr">
        <is>
          <t>완료</t>
        </is>
      </c>
      <c r="C117" s="60" t="inlineStr">
        <is>
          <t>미착공</t>
        </is>
      </c>
      <c r="D117" s="49" t="inlineStr">
        <is>
          <t>아이파크(구. 태화강 에코리버데시앙)</t>
        </is>
      </c>
      <c r="E117" s="20" t="inlineStr">
        <is>
          <t>중구</t>
        </is>
      </c>
      <c r="F117" s="16" t="inlineStr">
        <is>
          <t>중구 반구동 554-5 일원</t>
        </is>
      </c>
      <c r="G117" s="26" t="n">
        <v>710</v>
      </c>
      <c r="H117" s="58" t="inlineStr">
        <is>
          <t>2027.~2028.</t>
        </is>
      </c>
      <c r="I117" s="57" t="n">
        <v>2028.7</v>
      </c>
      <c r="J117" s="57" t="n"/>
      <c r="K117" s="20" t="n">
        <v>0.17</v>
      </c>
      <c r="L117" s="96">
        <f>ROUNDDOWN(M117*25%,0)</f>
        <v/>
      </c>
      <c r="M117" s="99">
        <f>ROUNDDOWN(G117*K117,0)</f>
        <v/>
      </c>
      <c r="N117" s="97">
        <f>ROUND($G117*$K117/6,0)</f>
        <v/>
      </c>
      <c r="O117" s="97">
        <f>ROUND($G117*$K117/6,0)</f>
        <v/>
      </c>
      <c r="P117" s="97">
        <f>ROUND($G117*$K117/6,0)</f>
        <v/>
      </c>
      <c r="Q117" s="97">
        <f>ROUND($G117*$K117/6,0)</f>
        <v/>
      </c>
      <c r="R117" s="97">
        <f>ROUND($G117*$K117/6*50%,0)</f>
        <v/>
      </c>
      <c r="S117" s="97">
        <f>ROUND($G117*$K117/6*30%,0)</f>
        <v/>
      </c>
      <c r="T117" s="20" t="inlineStr">
        <is>
          <t>내황초 배치 가능</t>
        </is>
      </c>
      <c r="U117" s="0" t="n">
        <v>35.5522826</v>
      </c>
      <c r="V117" s="0" t="n">
        <v>129.3470303</v>
      </c>
    </row>
    <row r="118" ht="40" customHeight="1" s="95">
      <c r="A118" s="60" t="inlineStr">
        <is>
          <t>울산중 18m</t>
        </is>
      </c>
      <c r="B118" s="60" t="inlineStr">
        <is>
          <t>완료</t>
        </is>
      </c>
      <c r="C118" s="60" t="inlineStr">
        <is>
          <t>미착공</t>
        </is>
      </c>
      <c r="D118" s="51" t="inlineStr">
        <is>
          <t>중구 복산동 650-1아파트(1단지)</t>
        </is>
      </c>
      <c r="E118" s="20" t="inlineStr">
        <is>
          <t>중구</t>
        </is>
      </c>
      <c r="F118" s="16" t="inlineStr">
        <is>
          <t>중구 복산동 650-1 일원</t>
        </is>
      </c>
      <c r="G118" s="26" t="n">
        <v>441</v>
      </c>
      <c r="H118" s="58" t="inlineStr">
        <is>
          <t>2026.8.
→ 2028.이후</t>
        </is>
      </c>
      <c r="I118" s="57" t="n">
        <v>2028</v>
      </c>
      <c r="J118" s="85" t="n"/>
      <c r="K118" s="20" t="n">
        <v>0.15</v>
      </c>
      <c r="L118" s="96">
        <f>ROUNDDOWN(M118*25%,0)</f>
        <v/>
      </c>
      <c r="M118" s="99">
        <f>ROUNDDOWN(G118*K118,0)</f>
        <v/>
      </c>
      <c r="N118" s="97">
        <f>ROUND($G118*$K118/6,0)</f>
        <v/>
      </c>
      <c r="O118" s="97">
        <f>ROUND($G118*$K118/6,0)</f>
        <v/>
      </c>
      <c r="P118" s="97">
        <f>ROUND($G118*$K118/6,0)</f>
        <v/>
      </c>
      <c r="Q118" s="97">
        <f>ROUND($G118*$K118/6,0)</f>
        <v/>
      </c>
      <c r="R118" s="97">
        <f>ROUND($G118*$K118/6*50%,0)</f>
        <v/>
      </c>
      <c r="S118" s="97">
        <f>ROUND($G118*$K118/6*30%,0)</f>
        <v/>
      </c>
      <c r="T118" s="20" t="inlineStr">
        <is>
          <t>복산초 11실 증축</t>
        </is>
      </c>
      <c r="U118" s="0" t="n">
        <v>35.5647574</v>
      </c>
      <c r="V118" s="0" t="n">
        <v>129.3257433</v>
      </c>
    </row>
    <row r="119" ht="40" customFormat="1" customHeight="1" s="10">
      <c r="A119" s="53" t="inlineStr">
        <is>
          <t>울산중 22m
성신고 47m</t>
        </is>
      </c>
      <c r="B119" s="60" t="inlineStr">
        <is>
          <t>완료</t>
        </is>
      </c>
      <c r="C119" s="60" t="inlineStr">
        <is>
          <t>미착공</t>
        </is>
      </c>
      <c r="D119" s="51" t="inlineStr">
        <is>
          <t>중구 복산동 지역주택조합 아파트(2단지)</t>
        </is>
      </c>
      <c r="E119" s="20" t="inlineStr">
        <is>
          <t>중구</t>
        </is>
      </c>
      <c r="F119" s="16" t="inlineStr">
        <is>
          <t>중구 복산동 658-4 일원</t>
        </is>
      </c>
      <c r="G119" s="26" t="n">
        <v>439</v>
      </c>
      <c r="H119" s="58" t="inlineStr">
        <is>
          <t>2026.8.
→ 2028.이후</t>
        </is>
      </c>
      <c r="I119" s="57" t="n">
        <v>2028</v>
      </c>
      <c r="J119" s="85" t="n"/>
      <c r="K119" s="20" t="n">
        <v>0.15</v>
      </c>
      <c r="L119" s="96">
        <f>ROUNDDOWN(M119*25%,0)</f>
        <v/>
      </c>
      <c r="M119" s="99">
        <f>ROUNDDOWN(G119*K119,0)</f>
        <v/>
      </c>
      <c r="N119" s="97">
        <f>ROUND($G119*$K119/6,0)</f>
        <v/>
      </c>
      <c r="O119" s="97">
        <f>ROUND($G119*$K119/6,0)</f>
        <v/>
      </c>
      <c r="P119" s="97">
        <f>ROUND($G119*$K119/6,0)</f>
        <v/>
      </c>
      <c r="Q119" s="97">
        <f>ROUND($G119*$K119/6,0)</f>
        <v/>
      </c>
      <c r="R119" s="97">
        <f>ROUND($G119*$K119/6*50%,0)</f>
        <v/>
      </c>
      <c r="S119" s="97">
        <f>ROUND($G119*$K119/6*30%,0)</f>
        <v/>
      </c>
      <c r="T119" s="20" t="inlineStr">
        <is>
          <t>복산초 11실 증축</t>
        </is>
      </c>
      <c r="U119" s="0" t="n">
        <v>35.5642223</v>
      </c>
      <c r="V119" s="0" t="n">
        <v>129.3233958</v>
      </c>
    </row>
    <row r="120" ht="40" customHeight="1" s="95">
      <c r="A120" s="60" t="n"/>
      <c r="B120" s="60" t="n"/>
      <c r="C120" s="60" t="inlineStr">
        <is>
          <t>미착공</t>
        </is>
      </c>
      <c r="D120" s="48" t="inlineStr">
        <is>
          <t>성남동 219-77 일원 주상복합</t>
        </is>
      </c>
      <c r="E120" s="37" t="inlineStr">
        <is>
          <t>중구</t>
        </is>
      </c>
      <c r="F120" s="38" t="inlineStr">
        <is>
          <t>중구 성남동 219-77 일원</t>
        </is>
      </c>
      <c r="G120" s="37" t="n">
        <v>298</v>
      </c>
      <c r="H120" s="54" t="inlineStr">
        <is>
          <t>2026.8.이후</t>
        </is>
      </c>
      <c r="I120" s="57" t="inlineStr">
        <is>
          <t>지연예정</t>
        </is>
      </c>
      <c r="J120" s="70" t="n">
        <v>2028</v>
      </c>
      <c r="K120" s="37" t="n">
        <v>0.05</v>
      </c>
      <c r="L120" s="96">
        <f>ROUNDDOWN(M120*25%,0)</f>
        <v/>
      </c>
      <c r="M120" s="99">
        <f>ROUNDDOWN(G120*K120,0)</f>
        <v/>
      </c>
      <c r="N120" s="97">
        <f>ROUND($G120*$K120/6,0)</f>
        <v/>
      </c>
      <c r="O120" s="97">
        <f>ROUND($G120*$K120/6,0)</f>
        <v/>
      </c>
      <c r="P120" s="97">
        <f>ROUND($G120*$K120/6,0)</f>
        <v/>
      </c>
      <c r="Q120" s="97">
        <f>ROUND($G120*$K120/6,0)</f>
        <v/>
      </c>
      <c r="R120" s="97">
        <f>ROUND($G120*$K120/6*50%,0)</f>
        <v/>
      </c>
      <c r="S120" s="97">
        <f>ROUND($G120*$K120/6*30%,0)</f>
        <v/>
      </c>
      <c r="T120" s="37" t="inlineStr">
        <is>
          <t>양사초 배치 가능</t>
        </is>
      </c>
      <c r="U120" s="0" t="n">
        <v>35.5540634</v>
      </c>
      <c r="V120" s="0" t="n">
        <v>129.3193599</v>
      </c>
    </row>
    <row r="121" ht="40" customHeight="1" s="95">
      <c r="A121" s="60" t="n"/>
      <c r="B121" s="60" t="n"/>
      <c r="C121" s="60" t="inlineStr">
        <is>
          <t>미착공</t>
        </is>
      </c>
      <c r="D121" s="51" t="inlineStr">
        <is>
          <t>옥교동 224 일원 주거복합</t>
        </is>
      </c>
      <c r="E121" s="20" t="inlineStr">
        <is>
          <t>중구</t>
        </is>
      </c>
      <c r="F121" s="16" t="inlineStr">
        <is>
          <t>중구 옥교동 224 일원</t>
        </is>
      </c>
      <c r="G121" s="26" t="n">
        <v>300</v>
      </c>
      <c r="H121" s="58" t="inlineStr">
        <is>
          <t>2027.9.이후</t>
        </is>
      </c>
      <c r="I121" s="57" t="inlineStr">
        <is>
          <t>지연예정</t>
        </is>
      </c>
      <c r="J121" s="70" t="n">
        <v>2028</v>
      </c>
      <c r="K121" s="20" t="n">
        <v>0.12</v>
      </c>
      <c r="L121" s="96">
        <f>ROUNDDOWN(M121*25%,0)</f>
        <v/>
      </c>
      <c r="M121" s="99">
        <f>ROUNDDOWN(G121*K121,0)</f>
        <v/>
      </c>
      <c r="N121" s="97">
        <f>ROUND($G121*$K121/6,0)</f>
        <v/>
      </c>
      <c r="O121" s="97">
        <f>ROUND($G121*$K121/6,0)</f>
        <v/>
      </c>
      <c r="P121" s="97">
        <f>ROUND($G121*$K121/6,0)</f>
        <v/>
      </c>
      <c r="Q121" s="97">
        <f>ROUND($G121*$K121/6,0)</f>
        <v/>
      </c>
      <c r="R121" s="97">
        <f>ROUND($G121*$K121/6*50%,0)</f>
        <v/>
      </c>
      <c r="S121" s="97">
        <f>ROUND($G121*$K121/6*30%,0)</f>
        <v/>
      </c>
      <c r="T121" s="20" t="inlineStr">
        <is>
          <t>복산초 11실 증축</t>
        </is>
      </c>
      <c r="U121" s="0" t="n">
        <v>35.5560751</v>
      </c>
      <c r="V121" s="0" t="n">
        <v>129.3226985</v>
      </c>
    </row>
    <row r="122" ht="40" customHeight="1" s="95">
      <c r="A122" s="60" t="n"/>
      <c r="B122" s="60" t="inlineStr">
        <is>
          <t>완료</t>
        </is>
      </c>
      <c r="C122" s="60" t="inlineStr">
        <is>
          <t>미착공</t>
        </is>
      </c>
      <c r="D122" s="49" t="inlineStr">
        <is>
          <t>우정동 112번지 일원 공동주택
(쌍용더플래티넘)</t>
        </is>
      </c>
      <c r="E122" s="15" t="inlineStr">
        <is>
          <t>중구</t>
        </is>
      </c>
      <c r="F122" s="16" t="inlineStr">
        <is>
          <t>중구 우정동 112번지 일원</t>
        </is>
      </c>
      <c r="G122" s="26" t="n">
        <v>384</v>
      </c>
      <c r="H122" s="58" t="inlineStr">
        <is>
          <t>2027.2.이후</t>
        </is>
      </c>
      <c r="I122" s="57" t="inlineStr">
        <is>
          <t>지연예정</t>
        </is>
      </c>
      <c r="J122" s="70" t="n">
        <v>2028</v>
      </c>
      <c r="K122" s="20" t="n">
        <v>0.12</v>
      </c>
      <c r="L122" s="96">
        <f>ROUNDDOWN(M122*25%,0)</f>
        <v/>
      </c>
      <c r="M122" s="99">
        <f>ROUNDDOWN(G122*K122,0)</f>
        <v/>
      </c>
      <c r="N122" s="97">
        <f>ROUND($G122*$K122/6,0)</f>
        <v/>
      </c>
      <c r="O122" s="97">
        <f>ROUND($G122*$K122/6,0)</f>
        <v/>
      </c>
      <c r="P122" s="97">
        <f>ROUND($G122*$K122/6,0)</f>
        <v/>
      </c>
      <c r="Q122" s="97">
        <f>ROUND($G122*$K122/6,0)</f>
        <v/>
      </c>
      <c r="R122" s="97">
        <f>ROUND($G122*$K122/6*50%,0)</f>
        <v/>
      </c>
      <c r="S122" s="97">
        <f>ROUND($G122*$K122/6*30%,0)</f>
        <v/>
      </c>
      <c r="T122" s="20" t="inlineStr">
        <is>
          <t>양사초 배치 불가
(증축)</t>
        </is>
      </c>
      <c r="U122" s="0" t="n">
        <v>35.5532251</v>
      </c>
      <c r="V122" s="0" t="n">
        <v>129.3140789</v>
      </c>
    </row>
    <row r="123" ht="40" customHeight="1" s="95">
      <c r="A123" s="60" t="n"/>
      <c r="B123" s="60" t="inlineStr">
        <is>
          <t>완료</t>
        </is>
      </c>
      <c r="C123" s="60" t="inlineStr">
        <is>
          <t>착공후 미분양</t>
        </is>
      </c>
      <c r="D123" s="49" t="inlineStr">
        <is>
          <t>우정동 한양립스더센트럴
(우정동 뉴시티지역주택조합)</t>
        </is>
      </c>
      <c r="E123" s="15" t="inlineStr">
        <is>
          <t>중구</t>
        </is>
      </c>
      <c r="F123" s="16" t="inlineStr">
        <is>
          <t>중구 우정동 272-2 일원</t>
        </is>
      </c>
      <c r="G123" s="26" t="n">
        <v>531</v>
      </c>
      <c r="H123" s="58" t="inlineStr">
        <is>
          <t>2026.4.</t>
        </is>
      </c>
      <c r="I123" s="57" t="n">
        <v>2026</v>
      </c>
      <c r="J123" s="57" t="n"/>
      <c r="K123" s="20" t="n">
        <v>0.12</v>
      </c>
      <c r="L123" s="96">
        <f>ROUNDDOWN(M123*25%,0)</f>
        <v/>
      </c>
      <c r="M123" s="99">
        <f>ROUNDDOWN(G123*K123,0)</f>
        <v/>
      </c>
      <c r="N123" s="97">
        <f>ROUND($G123*$K123/6,0)</f>
        <v/>
      </c>
      <c r="O123" s="97">
        <f>ROUND($G123*$K123/6,0)</f>
        <v/>
      </c>
      <c r="P123" s="97">
        <f>ROUND($G123*$K123/6,0)</f>
        <v/>
      </c>
      <c r="Q123" s="97">
        <f>ROUND($G123*$K123/6,0)</f>
        <v/>
      </c>
      <c r="R123" s="97">
        <f>ROUND($G123*$K123/6*50%,0)</f>
        <v/>
      </c>
      <c r="S123" s="97">
        <f>ROUND($G123*$K123/6*30%,0)</f>
        <v/>
      </c>
      <c r="T123" s="20" t="inlineStr">
        <is>
          <t>양사초 배치 가능</t>
        </is>
      </c>
      <c r="U123" s="0" t="n">
        <v>35.5578505</v>
      </c>
      <c r="V123" s="0" t="n">
        <v>129.3121881</v>
      </c>
    </row>
    <row r="124" ht="40" customHeight="1" s="95">
      <c r="A124" s="60" t="n"/>
      <c r="B124" s="60" t="inlineStr">
        <is>
          <t>완료</t>
        </is>
      </c>
      <c r="C124" s="60" t="inlineStr">
        <is>
          <t>착공</t>
        </is>
      </c>
      <c r="D124" s="49" t="inlineStr">
        <is>
          <t>울산우정에피트
(우정동지역주택조합)</t>
        </is>
      </c>
      <c r="E124" s="15" t="inlineStr">
        <is>
          <t>중구</t>
        </is>
      </c>
      <c r="F124" s="16" t="inlineStr">
        <is>
          <t>중구 우정동 274-60 일원</t>
        </is>
      </c>
      <c r="G124" s="26" t="n">
        <v>533</v>
      </c>
      <c r="H124" s="58" t="inlineStr">
        <is>
          <t>2027.1.</t>
        </is>
      </c>
      <c r="I124" s="57" t="n">
        <v>2027</v>
      </c>
      <c r="J124" s="57" t="n"/>
      <c r="K124" s="20" t="n">
        <v>0.12</v>
      </c>
      <c r="L124" s="96">
        <f>ROUNDDOWN(M124*25%,0)</f>
        <v/>
      </c>
      <c r="M124" s="99">
        <f>ROUNDDOWN(G124*K124,0)</f>
        <v/>
      </c>
      <c r="N124" s="97">
        <f>ROUND($G124*$K124/6,0)</f>
        <v/>
      </c>
      <c r="O124" s="97">
        <f>ROUND($G124*$K124/6,0)</f>
        <v/>
      </c>
      <c r="P124" s="97">
        <f>ROUND($G124*$K124/6,0)</f>
        <v/>
      </c>
      <c r="Q124" s="97">
        <f>ROUND($G124*$K124/6,0)</f>
        <v/>
      </c>
      <c r="R124" s="97">
        <f>ROUND($G124*$K124/6*50%,0)</f>
        <v/>
      </c>
      <c r="S124" s="97">
        <f>ROUND($G124*$K124/6*30%,0)</f>
        <v/>
      </c>
      <c r="T124" s="20" t="inlineStr">
        <is>
          <t>양사초 배치 가능</t>
        </is>
      </c>
      <c r="U124" s="0" t="n">
        <v>35.5555529</v>
      </c>
      <c r="V124" s="0" t="n">
        <v>129.3139252</v>
      </c>
    </row>
    <row r="125" ht="40" customHeight="1" s="95">
      <c r="A125" s="60" t="n"/>
      <c r="B125" s="60" t="inlineStr">
        <is>
          <t>완료</t>
        </is>
      </c>
      <c r="C125" s="60" t="inlineStr">
        <is>
          <t>미착공</t>
        </is>
      </c>
      <c r="D125" s="51" t="inlineStr">
        <is>
          <t>우정동 275-30 공동주택(8지구)</t>
        </is>
      </c>
      <c r="E125" s="15" t="inlineStr">
        <is>
          <t>중구</t>
        </is>
      </c>
      <c r="F125" s="16" t="inlineStr">
        <is>
          <t>중구 우정동 275-30번지 일원</t>
        </is>
      </c>
      <c r="G125" s="26" t="n">
        <v>458</v>
      </c>
      <c r="H125" s="58" t="inlineStr">
        <is>
          <t>2029.6.30.이후</t>
        </is>
      </c>
      <c r="I125" s="57" t="inlineStr">
        <is>
          <t>지연예정</t>
        </is>
      </c>
      <c r="J125" s="57" t="n">
        <v>2028</v>
      </c>
      <c r="K125" s="20" t="n">
        <v>0.12</v>
      </c>
      <c r="L125" s="96">
        <f>ROUNDDOWN(M125*25%,0)</f>
        <v/>
      </c>
      <c r="M125" s="99">
        <f>ROUNDDOWN(G125*K125,0)</f>
        <v/>
      </c>
      <c r="N125" s="97">
        <f>ROUND($G125*$K125/6,0)</f>
        <v/>
      </c>
      <c r="O125" s="97">
        <f>ROUND($G125*$K125/6,0)</f>
        <v/>
      </c>
      <c r="P125" s="97">
        <f>ROUND($G125*$K125/6,0)</f>
        <v/>
      </c>
      <c r="Q125" s="97">
        <f>ROUND($G125*$K125/6,0)</f>
        <v/>
      </c>
      <c r="R125" s="97">
        <f>ROUND($G125*$K125/6*50%,0)</f>
        <v/>
      </c>
      <c r="S125" s="97">
        <f>ROUND($G125*$K125/6*30%,0)</f>
        <v/>
      </c>
      <c r="T125" s="20" t="inlineStr">
        <is>
          <t>양사초 배치 불가
(증축)</t>
        </is>
      </c>
      <c r="U125" s="0" t="n">
        <v>35.5546559</v>
      </c>
      <c r="V125" s="0" t="n">
        <v>129.3143388</v>
      </c>
    </row>
    <row r="126" ht="40" customHeight="1" s="95">
      <c r="A126" s="60" t="n"/>
      <c r="B126" s="60" t="inlineStr">
        <is>
          <t>완료</t>
        </is>
      </c>
      <c r="C126" s="60" t="inlineStr">
        <is>
          <t>미착공</t>
        </is>
      </c>
      <c r="D126" s="51" t="inlineStr">
        <is>
          <t>우정동 276-34 공동주택(7지구)</t>
        </is>
      </c>
      <c r="E126" s="15" t="inlineStr">
        <is>
          <t>중구</t>
        </is>
      </c>
      <c r="F126" s="16" t="inlineStr">
        <is>
          <t>중구 우정동 276-34번지 일원</t>
        </is>
      </c>
      <c r="G126" s="26" t="n">
        <v>450</v>
      </c>
      <c r="H126" s="58" t="inlineStr">
        <is>
          <t>2029.12.31.이후</t>
        </is>
      </c>
      <c r="I126" s="57" t="inlineStr">
        <is>
          <t>지연예정</t>
        </is>
      </c>
      <c r="J126" s="57" t="n">
        <v>2028</v>
      </c>
      <c r="K126" s="20" t="n">
        <v>0.12</v>
      </c>
      <c r="L126" s="96">
        <f>ROUNDDOWN(M126*25%,0)</f>
        <v/>
      </c>
      <c r="M126" s="99">
        <f>ROUNDDOWN(G126*K126,0)</f>
        <v/>
      </c>
      <c r="N126" s="97">
        <f>ROUND($G126*$K126/6,0)</f>
        <v/>
      </c>
      <c r="O126" s="97">
        <f>ROUND($G126*$K126/6,0)</f>
        <v/>
      </c>
      <c r="P126" s="97">
        <f>ROUND($G126*$K126/6,0)</f>
        <v/>
      </c>
      <c r="Q126" s="97">
        <f>ROUND($G126*$K126/6,0)</f>
        <v/>
      </c>
      <c r="R126" s="97">
        <f>ROUND($G126*$K126/6*50%,0)</f>
        <v/>
      </c>
      <c r="S126" s="97">
        <f>ROUND($G126*$K126/6*30%,0)</f>
        <v/>
      </c>
      <c r="T126" s="20" t="inlineStr">
        <is>
          <t>양사초 배치 불가
(증축)</t>
        </is>
      </c>
      <c r="U126" s="0" t="n">
        <v>35.5535605</v>
      </c>
      <c r="V126" s="0" t="n">
        <v>129.314712</v>
      </c>
    </row>
    <row r="127" ht="40" customHeight="1" s="95">
      <c r="A127" s="60" t="n"/>
      <c r="B127" s="60" t="n"/>
      <c r="C127" s="60" t="inlineStr">
        <is>
          <t>미착공</t>
        </is>
      </c>
      <c r="D127" s="51" t="inlineStr">
        <is>
          <t>우정동 52번지 공동주택(6지구)</t>
        </is>
      </c>
      <c r="E127" s="15" t="inlineStr">
        <is>
          <t>중구</t>
        </is>
      </c>
      <c r="F127" s="16" t="inlineStr">
        <is>
          <t>중구 우정동 52번지 일원</t>
        </is>
      </c>
      <c r="G127" s="26" t="n">
        <v>532</v>
      </c>
      <c r="H127" s="58" t="inlineStr">
        <is>
          <t>2027.2.
→ 2028.2.이후</t>
        </is>
      </c>
      <c r="I127" s="57" t="inlineStr">
        <is>
          <t>지연예정</t>
        </is>
      </c>
      <c r="J127" s="57" t="n">
        <v>2028</v>
      </c>
      <c r="K127" s="20" t="n">
        <v>0.12</v>
      </c>
      <c r="L127" s="96">
        <f>ROUNDDOWN(M127*25%,0)</f>
        <v/>
      </c>
      <c r="M127" s="99">
        <f>ROUNDDOWN(G127*K127,0)</f>
        <v/>
      </c>
      <c r="N127" s="97">
        <f>ROUND($G127*$K127/6,0)</f>
        <v/>
      </c>
      <c r="O127" s="97">
        <f>ROUND($G127*$K127/6,0)</f>
        <v/>
      </c>
      <c r="P127" s="97">
        <f>ROUND($G127*$K127/6,0)</f>
        <v/>
      </c>
      <c r="Q127" s="97">
        <f>ROUND($G127*$K127/6,0)</f>
        <v/>
      </c>
      <c r="R127" s="97">
        <f>ROUND($G127*$K127/6*50%,0)</f>
        <v/>
      </c>
      <c r="S127" s="97">
        <f>ROUND($G127*$K127/6*30%,0)</f>
        <v/>
      </c>
      <c r="T127" s="20" t="inlineStr">
        <is>
          <t>양사초 배치 불가
(증축)</t>
        </is>
      </c>
      <c r="U127" s="0" t="n">
        <v>35.5552434</v>
      </c>
      <c r="V127" s="0" t="n">
        <v>129.3159625</v>
      </c>
    </row>
    <row r="128" ht="40" customHeight="1" s="95">
      <c r="A128" s="60" t="inlineStr">
        <is>
          <t>정인유 42m</t>
        </is>
      </c>
      <c r="B128" s="60" t="inlineStr">
        <is>
          <t>완료</t>
        </is>
      </c>
      <c r="C128" s="60" t="inlineStr">
        <is>
          <t>착공</t>
        </is>
      </c>
      <c r="D128" s="49" t="inlineStr">
        <is>
          <t>더폴 우정
(우성종합건설)</t>
        </is>
      </c>
      <c r="E128" s="15" t="inlineStr">
        <is>
          <t>중구</t>
        </is>
      </c>
      <c r="F128" s="16" t="inlineStr">
        <is>
          <t>중구 우정동 92-1 일원</t>
        </is>
      </c>
      <c r="G128" s="26" t="n">
        <v>318</v>
      </c>
      <c r="H128" s="58" t="inlineStr">
        <is>
          <t>2029.5.이후</t>
        </is>
      </c>
      <c r="I128" s="57" t="n">
        <v>2029</v>
      </c>
      <c r="J128" s="57" t="n"/>
      <c r="K128" s="20" t="n">
        <v>0.12</v>
      </c>
      <c r="L128" s="96">
        <f>ROUNDDOWN(M128*25%,0)</f>
        <v/>
      </c>
      <c r="M128" s="99">
        <f>ROUNDDOWN(G128*K128,0)</f>
        <v/>
      </c>
      <c r="N128" s="97">
        <f>ROUND($G128*$K128/6,0)</f>
        <v/>
      </c>
      <c r="O128" s="97">
        <f>ROUND($G128*$K128/6,0)</f>
        <v/>
      </c>
      <c r="P128" s="97">
        <f>ROUND($G128*$K128/6,0)</f>
        <v/>
      </c>
      <c r="Q128" s="97">
        <f>ROUND($G128*$K128/6,0)</f>
        <v/>
      </c>
      <c r="R128" s="97">
        <f>ROUND($G128*$K128/6*50%,0)</f>
        <v/>
      </c>
      <c r="S128" s="97">
        <f>ROUND($G128*$K128/6*30%,0)</f>
        <v/>
      </c>
      <c r="T128" s="20" t="inlineStr">
        <is>
          <t>양사초 배치 가능</t>
        </is>
      </c>
      <c r="U128" s="0" t="n">
        <v>35.554214</v>
      </c>
      <c r="V128" s="0" t="n">
        <v>129.3132916</v>
      </c>
    </row>
    <row r="129" ht="40" customHeight="1" s="95">
      <c r="A129" s="60" t="n"/>
      <c r="B129" s="60" t="n"/>
      <c r="C129" s="60" t="inlineStr">
        <is>
          <t>착공</t>
        </is>
      </c>
      <c r="D129" s="49" t="inlineStr">
        <is>
          <t>학산동 167-4일원 주상복합
(번영로 롯데캐슬 센트럴스카이)</t>
        </is>
      </c>
      <c r="E129" s="15" t="inlineStr">
        <is>
          <t>중구</t>
        </is>
      </c>
      <c r="F129" s="16" t="inlineStr">
        <is>
          <t>중구 학산동 167-4번지 일원</t>
        </is>
      </c>
      <c r="G129" s="26" t="n">
        <v>676</v>
      </c>
      <c r="H129" s="58" t="inlineStr">
        <is>
          <t>2028.11.</t>
        </is>
      </c>
      <c r="I129" s="57" t="n">
        <v>2028</v>
      </c>
      <c r="J129" s="80" t="n"/>
      <c r="K129" s="20" t="n">
        <v>0.12</v>
      </c>
      <c r="L129" s="96">
        <f>ROUNDDOWN(M129*25%,0)</f>
        <v/>
      </c>
      <c r="M129" s="99">
        <f>ROUNDDOWN(G129*K129,0)</f>
        <v/>
      </c>
      <c r="N129" s="97">
        <f>ROUND($G129*$K129/6,0)</f>
        <v/>
      </c>
      <c r="O129" s="97">
        <f>ROUND($G129*$K129/6,0)</f>
        <v/>
      </c>
      <c r="P129" s="97">
        <f>ROUND($G129*$K129/6,0)</f>
        <v/>
      </c>
      <c r="Q129" s="97">
        <f>ROUND($G129*$K129/6,0)</f>
        <v/>
      </c>
      <c r="R129" s="97">
        <f>ROUND($G129*$K129/6*50%,0)</f>
        <v/>
      </c>
      <c r="S129" s="97">
        <f>ROUND($G129*$K129/6*30%,0)</f>
        <v/>
      </c>
      <c r="T129" s="20" t="inlineStr">
        <is>
          <t>복산초 11실 증축</t>
        </is>
      </c>
      <c r="U129" s="0" t="n">
        <v>35.5568821</v>
      </c>
      <c r="V129" s="0" t="n">
        <v>129.3248845</v>
      </c>
    </row>
    <row r="130" ht="40" customHeight="1" s="95">
      <c r="A130" s="60" t="inlineStr">
        <is>
          <t>옥성초 6m</t>
        </is>
      </c>
      <c r="B130" s="60" t="n"/>
      <c r="C130" s="60" t="inlineStr">
        <is>
          <t>미착공</t>
        </is>
      </c>
      <c r="D130" s="52" t="inlineStr">
        <is>
          <t>학성동 188-1 주상복합</t>
        </is>
      </c>
      <c r="E130" s="37" t="inlineStr">
        <is>
          <t>중구</t>
        </is>
      </c>
      <c r="F130" s="36" t="inlineStr">
        <is>
          <t>중구 학성동 188-1 일원</t>
        </is>
      </c>
      <c r="G130" s="26" t="n">
        <v>72</v>
      </c>
      <c r="H130" s="73" t="inlineStr">
        <is>
          <t>2022.10.~
2026.5.이후</t>
        </is>
      </c>
      <c r="I130" s="57" t="inlineStr">
        <is>
          <t>지연예정</t>
        </is>
      </c>
      <c r="J130" s="57" t="n">
        <v>2028</v>
      </c>
      <c r="K130" s="35" t="n">
        <v>0.1</v>
      </c>
      <c r="L130" s="96">
        <f>ROUNDDOWN(M130*25%,0)</f>
        <v/>
      </c>
      <c r="M130" s="96">
        <f>ROUNDDOWN(G130*K130,0)</f>
        <v/>
      </c>
      <c r="N130" s="97">
        <f>ROUND($G130*$K130/6,0)</f>
        <v/>
      </c>
      <c r="O130" s="97">
        <f>ROUND($G130*$K130/6,0)</f>
        <v/>
      </c>
      <c r="P130" s="97">
        <f>ROUND($G130*$K130/6,0)</f>
        <v/>
      </c>
      <c r="Q130" s="97">
        <f>ROUND($G130*$K130/6,0)</f>
        <v/>
      </c>
      <c r="R130" s="97">
        <f>ROUND($G130*$K130/6*50%,0)</f>
        <v/>
      </c>
      <c r="S130" s="97">
        <f>ROUND($G130*$K130/6*30%,0)</f>
        <v/>
      </c>
      <c r="T130" s="35" t="inlineStr">
        <is>
          <t>옥성초 배치 가능</t>
        </is>
      </c>
      <c r="U130" s="0" t="n">
        <v>35.5523773</v>
      </c>
      <c r="V130" s="0" t="n">
        <v>129.33386</v>
      </c>
    </row>
    <row r="131" ht="40" customHeight="1" s="95">
      <c r="A131" s="60" t="inlineStr">
        <is>
          <t>함월초 0m
울산유 15m</t>
        </is>
      </c>
      <c r="B131" s="60" t="inlineStr">
        <is>
          <t>완료</t>
        </is>
      </c>
      <c r="C131" s="60" t="inlineStr">
        <is>
          <t>착공</t>
        </is>
      </c>
      <c r="D131" s="49" t="inlineStr">
        <is>
          <t>포스코 더샵 시에르네
(학성동지역주택조합)</t>
        </is>
      </c>
      <c r="E131" s="20" t="inlineStr">
        <is>
          <t>중구</t>
        </is>
      </c>
      <c r="F131" s="16" t="inlineStr">
        <is>
          <t>중구 학성동 397-1번지 일원</t>
        </is>
      </c>
      <c r="G131" s="26" t="n">
        <v>788</v>
      </c>
      <c r="H131" s="58" t="inlineStr">
        <is>
          <t>2022.3.2~2027.3.31.</t>
        </is>
      </c>
      <c r="I131" s="57" t="n">
        <v>2027</v>
      </c>
      <c r="J131" s="57" t="n"/>
      <c r="K131" s="20" t="n">
        <v>0.2</v>
      </c>
      <c r="L131" s="96">
        <f>ROUNDDOWN(M131*25%,0)</f>
        <v/>
      </c>
      <c r="M131" s="99">
        <f>ROUNDDOWN(G131*K131,0)</f>
        <v/>
      </c>
      <c r="N131" s="97">
        <f>ROUND($G131*$K131/6,0)</f>
        <v/>
      </c>
      <c r="O131" s="97">
        <f>ROUND($G131*$K131/6,0)</f>
        <v/>
      </c>
      <c r="P131" s="97">
        <f>ROUND($G131*$K131/6,0)</f>
        <v/>
      </c>
      <c r="Q131" s="97">
        <f>ROUND($G131*$K131/6,0)</f>
        <v/>
      </c>
      <c r="R131" s="97">
        <f>ROUND($G131*$K131/6*50%,0)</f>
        <v/>
      </c>
      <c r="S131" s="97">
        <f>ROUND($G131*$K131/6*30%,0)</f>
        <v/>
      </c>
      <c r="T131" s="20" t="inlineStr">
        <is>
          <t>함월초 배치 가능</t>
        </is>
      </c>
      <c r="U131" s="0" t="n">
        <v>35.558801</v>
      </c>
      <c r="V131" s="0" t="n">
        <v>129.3327696</v>
      </c>
    </row>
    <row r="132" ht="40" customHeight="1" s="95">
      <c r="A132" s="45" t="n"/>
      <c r="B132" s="45" t="n"/>
      <c r="C132" s="45" t="n"/>
      <c r="D132" s="37" t="n"/>
      <c r="E132" s="37" t="n"/>
      <c r="F132" s="38" t="n"/>
      <c r="G132" s="37" t="n"/>
      <c r="H132" s="37" t="n"/>
      <c r="I132" s="46" t="n"/>
      <c r="J132" s="46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</row>
  </sheetData>
  <mergeCells count="1">
    <mergeCell ref="C1:T1"/>
  </mergeCells>
  <printOptions horizontalCentered="1"/>
  <pageMargins left="0.6299212598425197" right="0.4330708661417323" top="0.5511811023622047" bottom="0.5511811023622047" header="0.3149606299212598" footer="0"/>
  <pageSetup orientation="landscape" paperSize="9" scale="60" fitToHeight="0"/>
  <rowBreaks count="2" manualBreakCount="2">
    <brk id="72" min="0" max="29" man="1"/>
    <brk id="129" min="0" max="29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1"/>
  <sheetViews>
    <sheetView tabSelected="1" topLeftCell="C47" zoomScale="96" workbookViewId="0">
      <selection activeCell="O55" sqref="O55"/>
    </sheetView>
  </sheetViews>
  <sheetFormatPr baseColWidth="10" defaultColWidth="10" defaultRowHeight="17"/>
  <cols>
    <col hidden="1" width="11" customWidth="1" style="9" min="1" max="2"/>
    <col width="7.6640625" customWidth="1" style="9" min="3" max="3"/>
    <col width="30.83203125" customWidth="1" style="2" min="4" max="4"/>
    <col width="9.1640625" customWidth="1" style="2" min="5" max="5"/>
    <col width="28.1640625" customWidth="1" style="1" min="6" max="6"/>
    <col width="7.5" customWidth="1" style="2" min="7" max="7"/>
    <col width="13" bestFit="1" customWidth="1" style="2" min="8" max="8"/>
    <col width="9.1640625" customWidth="1" style="12" min="9" max="9"/>
    <col width="9" customWidth="1" style="12" min="10" max="10"/>
    <col width="8.6640625" customWidth="1" style="2" min="11" max="11"/>
    <col hidden="1" width="11.83203125" customWidth="1" style="2" min="12" max="12"/>
    <col width="8" customWidth="1" style="2" min="13" max="19"/>
    <col width="28" customWidth="1" style="2" min="20" max="20"/>
    <col width="10" customWidth="1" style="1" min="21" max="21"/>
    <col width="10" customWidth="1" style="1" min="22" max="16384"/>
  </cols>
  <sheetData>
    <row r="1" ht="35.25" customFormat="1" customHeight="1" s="94">
      <c r="A1" s="13" t="n"/>
      <c r="B1" s="13" t="n"/>
      <c r="C1" s="93" t="inlineStr">
        <is>
          <t>공동주택 및 개발사업 현황</t>
        </is>
      </c>
    </row>
    <row r="2" ht="24" customFormat="1" customHeight="1" s="4" thickBot="1">
      <c r="A2" s="8" t="n"/>
      <c r="B2" s="8" t="n"/>
      <c r="C2" s="8" t="n"/>
      <c r="D2" s="5" t="n"/>
      <c r="E2" s="5" t="n"/>
      <c r="F2" s="6" t="n"/>
      <c r="G2" s="7" t="n"/>
      <c r="H2" s="7" t="n"/>
      <c r="I2" s="11" t="n"/>
      <c r="J2" s="11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90" t="inlineStr">
        <is>
          <t>2025.7.18. 기준</t>
        </is>
      </c>
    </row>
    <row r="3" ht="31.5" customHeight="1" s="95">
      <c r="A3" s="17" t="inlineStr">
        <is>
          <t>안전성평가대상</t>
        </is>
      </c>
      <c r="B3" s="17" t="inlineStr">
        <is>
          <t>교육환경평가대상</t>
        </is>
      </c>
      <c r="C3" s="17" t="inlineStr">
        <is>
          <t>착공여부</t>
        </is>
      </c>
      <c r="D3" s="18" t="inlineStr">
        <is>
          <t>사 업 명
(시행사)</t>
        </is>
      </c>
      <c r="E3" s="18" t="inlineStr">
        <is>
          <t>행정구역</t>
        </is>
      </c>
      <c r="F3" s="18" t="inlineStr">
        <is>
          <t>위 치</t>
        </is>
      </c>
      <c r="G3" s="18" t="inlineStr">
        <is>
          <t>세대수</t>
        </is>
      </c>
      <c r="H3" s="18" t="inlineStr">
        <is>
          <t>사업기간</t>
        </is>
      </c>
      <c r="I3" s="19" t="inlineStr">
        <is>
          <t>반영시기(1차)</t>
        </is>
      </c>
      <c r="J3" s="19" t="inlineStr">
        <is>
          <t>반영시기(2차)</t>
        </is>
      </c>
      <c r="K3" s="18" t="inlineStr">
        <is>
          <t>발생율</t>
        </is>
      </c>
      <c r="L3" s="18" t="inlineStr">
        <is>
          <t>유</t>
        </is>
      </c>
      <c r="M3" s="18" t="inlineStr">
        <is>
          <t>초등학생</t>
        </is>
      </c>
      <c r="N3" s="18" t="inlineStr">
        <is>
          <t>1학년</t>
        </is>
      </c>
      <c r="O3" s="18" t="inlineStr">
        <is>
          <t>2학년</t>
        </is>
      </c>
      <c r="P3" s="18" t="inlineStr">
        <is>
          <t>3학년</t>
        </is>
      </c>
      <c r="Q3" s="18" t="inlineStr">
        <is>
          <t>4학년</t>
        </is>
      </c>
      <c r="R3" s="18" t="inlineStr">
        <is>
          <t>5학년</t>
        </is>
      </c>
      <c r="S3" s="18" t="inlineStr">
        <is>
          <t>6학년</t>
        </is>
      </c>
      <c r="T3" s="18" t="inlineStr">
        <is>
          <t>초등학교</t>
        </is>
      </c>
      <c r="U3" s="92" t="inlineStr">
        <is>
          <t>위도(lat)</t>
        </is>
      </c>
      <c r="V3" s="92" t="inlineStr">
        <is>
          <t>경도(lng)</t>
        </is>
      </c>
    </row>
    <row r="4" ht="40" customHeight="1" s="95">
      <c r="A4" s="60" t="n"/>
      <c r="B4" s="60" t="n"/>
      <c r="C4" s="60" t="inlineStr">
        <is>
          <t>미착공</t>
        </is>
      </c>
      <c r="D4" s="52" t="inlineStr">
        <is>
          <t>울산달동더리브</t>
        </is>
      </c>
      <c r="E4" s="35" t="inlineStr">
        <is>
          <t>남구</t>
        </is>
      </c>
      <c r="F4" s="38" t="inlineStr">
        <is>
          <t>남구 달동 1247-3 일원</t>
        </is>
      </c>
      <c r="G4" s="37" t="n">
        <v>237</v>
      </c>
      <c r="H4" s="54" t="inlineStr">
        <is>
          <t>2026.이후</t>
        </is>
      </c>
      <c r="I4" s="55" t="inlineStr">
        <is>
          <t>지연예정</t>
        </is>
      </c>
      <c r="J4" s="55" t="n">
        <v>2028</v>
      </c>
      <c r="K4" s="37" t="n">
        <v>0.1</v>
      </c>
      <c r="L4" s="96">
        <f>ROUNDDOWN(M4*25%,0)</f>
        <v/>
      </c>
      <c r="M4" s="96">
        <f>ROUNDDOWN(G4*K4,0)</f>
        <v/>
      </c>
      <c r="N4" s="97">
        <f>ROUND($G4*$K4/6,0)</f>
        <v/>
      </c>
      <c r="O4" s="97">
        <f>ROUND($G4*$K4/6,0)</f>
        <v/>
      </c>
      <c r="P4" s="97">
        <f>ROUND($G4*$K4/6,0)</f>
        <v/>
      </c>
      <c r="Q4" s="97">
        <f>ROUND($G4*$K4/6,0)</f>
        <v/>
      </c>
      <c r="R4" s="97">
        <f>ROUND($G4*$K4/6*50%,0)</f>
        <v/>
      </c>
      <c r="S4" s="97">
        <f>ROUND($G4*$K4/6*30%,0)</f>
        <v/>
      </c>
      <c r="T4" s="37" t="inlineStr">
        <is>
          <t>동평초 배치 가능</t>
        </is>
      </c>
      <c r="U4" s="0" t="n">
        <v>35.536882</v>
      </c>
      <c r="V4" s="0" t="n">
        <v>129.328727</v>
      </c>
    </row>
    <row r="5" ht="40" customHeight="1" s="95">
      <c r="A5" s="60" t="n"/>
      <c r="B5" s="60" t="n"/>
      <c r="C5" s="60" t="inlineStr">
        <is>
          <t>미착공</t>
        </is>
      </c>
      <c r="D5" s="48" t="inlineStr">
        <is>
          <t>달동 1325-1 일원 주상복합</t>
        </is>
      </c>
      <c r="E5" s="37" t="inlineStr">
        <is>
          <t>남구</t>
        </is>
      </c>
      <c r="F5" s="38" t="inlineStr">
        <is>
          <t>남구 달동 1325-1 일원</t>
        </is>
      </c>
      <c r="G5" s="98" t="n">
        <v>187</v>
      </c>
      <c r="H5" s="56" t="inlineStr">
        <is>
          <t>2023.12.~
2026.이후</t>
        </is>
      </c>
      <c r="I5" s="55" t="inlineStr">
        <is>
          <t>지연예정</t>
        </is>
      </c>
      <c r="J5" s="55" t="n">
        <v>2028</v>
      </c>
      <c r="K5" s="37" t="n">
        <v>0.15</v>
      </c>
      <c r="L5" s="96">
        <f>ROUNDDOWN(M5*25%,0)</f>
        <v/>
      </c>
      <c r="M5" s="99">
        <f>ROUNDDOWN(G5*K5,0)</f>
        <v/>
      </c>
      <c r="N5" s="97">
        <f>ROUND($G5*$K5/6,0)</f>
        <v/>
      </c>
      <c r="O5" s="97">
        <f>ROUND($G5*$K5/6,0)</f>
        <v/>
      </c>
      <c r="P5" s="97">
        <f>ROUND($G5*$K5/6,0)</f>
        <v/>
      </c>
      <c r="Q5" s="97">
        <f>ROUND($G5*$K5/6,0)</f>
        <v/>
      </c>
      <c r="R5" s="97">
        <f>ROUND($G5*$K5/6*50%,0)</f>
        <v/>
      </c>
      <c r="S5" s="97">
        <f>ROUND($G5*$K5/6*30%,0)</f>
        <v/>
      </c>
      <c r="T5" s="37" t="inlineStr">
        <is>
          <t>삼신초 배치 가능</t>
        </is>
      </c>
      <c r="U5" s="0" t="n">
        <v>35.541483</v>
      </c>
      <c r="V5" s="0" t="n">
        <v>129.326905</v>
      </c>
    </row>
    <row r="6" ht="40" customHeight="1" s="95">
      <c r="A6" s="60" t="n"/>
      <c r="B6" s="60" t="n"/>
      <c r="C6" s="60" t="inlineStr">
        <is>
          <t>미착공</t>
        </is>
      </c>
      <c r="D6" s="86" t="inlineStr">
        <is>
          <t>달동 위드 주상복합
(동원개발)</t>
        </is>
      </c>
      <c r="E6" s="35" t="inlineStr">
        <is>
          <t>남구</t>
        </is>
      </c>
      <c r="F6" s="38" t="inlineStr">
        <is>
          <t>남구 달동 1358-1 일원</t>
        </is>
      </c>
      <c r="G6" s="26" t="n">
        <v>236</v>
      </c>
      <c r="H6" s="56" t="inlineStr">
        <is>
          <t>2023.~
2026.이후</t>
        </is>
      </c>
      <c r="I6" s="55" t="inlineStr">
        <is>
          <t>지연예정</t>
        </is>
      </c>
      <c r="J6" s="55" t="n">
        <v>2028</v>
      </c>
      <c r="K6" s="37" t="n">
        <v>0.15</v>
      </c>
      <c r="L6" s="96">
        <f>ROUNDDOWN(M6*25%,0)</f>
        <v/>
      </c>
      <c r="M6" s="99">
        <f>ROUNDDOWN(G6*K6,0)</f>
        <v/>
      </c>
      <c r="N6" s="97">
        <f>ROUND($G6*$K6/6,0)</f>
        <v/>
      </c>
      <c r="O6" s="97">
        <f>ROUND($G6*$K6/6,0)</f>
        <v/>
      </c>
      <c r="P6" s="97">
        <f>ROUND($G6*$K6/6,0)</f>
        <v/>
      </c>
      <c r="Q6" s="97">
        <f>ROUND($G6*$K6/6,0)</f>
        <v/>
      </c>
      <c r="R6" s="97">
        <f>ROUND($G6*$K6/6*50%,0)</f>
        <v/>
      </c>
      <c r="S6" s="97">
        <f>ROUND($G6*$K6/6*30%,0)</f>
        <v/>
      </c>
      <c r="T6" s="37" t="inlineStr">
        <is>
          <t>삼신초 배치 가능</t>
        </is>
      </c>
      <c r="U6" s="0" t="n">
        <v>35.538451</v>
      </c>
      <c r="V6" s="0" t="n">
        <v>129.328252</v>
      </c>
    </row>
    <row r="7" ht="40" customHeight="1" s="95">
      <c r="A7" s="60" t="n"/>
      <c r="B7" s="60" t="inlineStr">
        <is>
          <t>대상</t>
        </is>
      </c>
      <c r="C7" s="60" t="inlineStr">
        <is>
          <t>미착공</t>
        </is>
      </c>
      <c r="D7" s="51" t="inlineStr">
        <is>
          <t>(가칭)무거삼호지구 도시개발사업 택지조성</t>
        </is>
      </c>
      <c r="E7" s="20" t="inlineStr">
        <is>
          <t>남구</t>
        </is>
      </c>
      <c r="F7" s="16" t="inlineStr">
        <is>
          <t>남구 무거동 1347번지 일원</t>
        </is>
      </c>
      <c r="G7" s="29" t="n">
        <v>1251</v>
      </c>
      <c r="H7" s="20" t="n">
        <v>2028</v>
      </c>
      <c r="I7" s="21" t="n">
        <v>2028</v>
      </c>
      <c r="J7" s="21" t="n"/>
      <c r="K7" s="20" t="n">
        <v>0.13</v>
      </c>
      <c r="L7" s="96">
        <f>ROUNDDOWN(M7*25%,0)</f>
        <v/>
      </c>
      <c r="M7" s="96">
        <f>ROUNDDOWN(G7*K7,0)</f>
        <v/>
      </c>
      <c r="N7" s="97">
        <f>ROUND($G7*$K7/6,0)</f>
        <v/>
      </c>
      <c r="O7" s="97">
        <f>ROUND($G7*$K7/6,0)</f>
        <v/>
      </c>
      <c r="P7" s="97">
        <f>ROUND($G7*$K7/6,0)</f>
        <v/>
      </c>
      <c r="Q7" s="97">
        <f>ROUND($G7*$K7/6,0)</f>
        <v/>
      </c>
      <c r="R7" s="97">
        <f>ROUND($G7*$K7/6*50%,0)</f>
        <v/>
      </c>
      <c r="S7" s="97">
        <f>ROUND($G7*$K7/6*30%,0)</f>
        <v/>
      </c>
      <c r="T7" s="20" t="inlineStr">
        <is>
          <t>옥현초 배치 가능</t>
        </is>
      </c>
      <c r="U7" s="0" t="n">
        <v>35.546729</v>
      </c>
      <c r="V7" s="0" t="n">
        <v>129.272314</v>
      </c>
    </row>
    <row r="8" ht="38" customHeight="1" s="95">
      <c r="A8" s="60" t="inlineStr">
        <is>
          <t>삼호중 6m</t>
        </is>
      </c>
      <c r="B8" s="60" t="inlineStr">
        <is>
          <t>완료</t>
        </is>
      </c>
      <c r="C8" s="60" t="inlineStr">
        <is>
          <t>2024.6.13.</t>
        </is>
      </c>
      <c r="D8" s="51" t="inlineStr">
        <is>
          <t>한화포레나울산무거</t>
        </is>
      </c>
      <c r="E8" s="20" t="inlineStr">
        <is>
          <t>남구</t>
        </is>
      </c>
      <c r="F8" s="16" t="inlineStr">
        <is>
          <t>남구 무거동 1422 일원</t>
        </is>
      </c>
      <c r="G8" s="26" t="n">
        <v>816</v>
      </c>
      <c r="H8" s="58" t="inlineStr">
        <is>
          <t>2024.6.13.~
2028.9.3.</t>
        </is>
      </c>
      <c r="I8" s="57" t="n">
        <v>2028</v>
      </c>
      <c r="J8" s="57" t="n"/>
      <c r="K8" s="20" t="n">
        <v>0.18</v>
      </c>
      <c r="L8" s="96">
        <f>ROUNDDOWN(M8*25%,0)</f>
        <v/>
      </c>
      <c r="M8" s="99">
        <f>ROUNDDOWN(G8*K8,0)</f>
        <v/>
      </c>
      <c r="N8" s="97">
        <f>ROUND($G8*$K8/6,0)</f>
        <v/>
      </c>
      <c r="O8" s="97">
        <f>ROUND($G8*$K8/6,0)</f>
        <v/>
      </c>
      <c r="P8" s="97">
        <f>ROUND($G8*$K8/6,0)</f>
        <v/>
      </c>
      <c r="Q8" s="97">
        <f>ROUND($G8*$K8/6,0)</f>
        <v/>
      </c>
      <c r="R8" s="97">
        <f>ROUND($G8*$K8/6*50%,0)</f>
        <v/>
      </c>
      <c r="S8" s="97">
        <f>ROUND($G8*$K8/6*30%,0)</f>
        <v/>
      </c>
      <c r="T8" s="20" t="inlineStr">
        <is>
          <t>삼호초 배치 가능</t>
        </is>
      </c>
      <c r="U8" s="0" t="n">
        <v>35.546714</v>
      </c>
      <c r="V8" s="0" t="n">
        <v>129.267411</v>
      </c>
    </row>
    <row r="9" ht="40" customHeight="1" s="95">
      <c r="A9" s="60" t="n"/>
      <c r="B9" s="60" t="n"/>
      <c r="C9" s="60" t="inlineStr">
        <is>
          <t>공사중지</t>
        </is>
      </c>
      <c r="D9" s="50" t="inlineStr">
        <is>
          <t>무거동 이즈 주상복합</t>
        </is>
      </c>
      <c r="E9" s="20" t="inlineStr">
        <is>
          <t>남구</t>
        </is>
      </c>
      <c r="F9" s="24" t="inlineStr">
        <is>
          <t>남구 무거동 1523-4 일원</t>
        </is>
      </c>
      <c r="G9" s="25" t="n">
        <v>154</v>
      </c>
      <c r="H9" s="59" t="inlineStr">
        <is>
          <t>2022.6.~
2025.이후</t>
        </is>
      </c>
      <c r="I9" s="55" t="inlineStr">
        <is>
          <t>지연예정</t>
        </is>
      </c>
      <c r="J9" s="55" t="n">
        <v>2028</v>
      </c>
      <c r="K9" s="25" t="n">
        <v>0.11</v>
      </c>
      <c r="L9" s="96">
        <f>ROUNDDOWN(M9*25%,0)</f>
        <v/>
      </c>
      <c r="M9" s="99">
        <f>ROUNDDOWN(G9*K9,0)</f>
        <v/>
      </c>
      <c r="N9" s="97">
        <f>ROUND($G9*$K9/6,0)</f>
        <v/>
      </c>
      <c r="O9" s="97">
        <f>ROUND($G9*$K9/6,0)</f>
        <v/>
      </c>
      <c r="P9" s="97">
        <f>ROUND($G9*$K9/6,0)</f>
        <v/>
      </c>
      <c r="Q9" s="97">
        <f>ROUND($G9*$K9/6,0)</f>
        <v/>
      </c>
      <c r="R9" s="97">
        <f>ROUND($G9*$K9/6*50%,0)</f>
        <v/>
      </c>
      <c r="S9" s="97">
        <f>ROUND($G9*$K9/6*30%,0)</f>
        <v/>
      </c>
      <c r="T9" s="25" t="inlineStr">
        <is>
          <t>신복초 배치 가능</t>
        </is>
      </c>
      <c r="U9" s="0" t="n">
        <v>35.550454</v>
      </c>
      <c r="V9" s="0" t="n">
        <v>129.261738</v>
      </c>
    </row>
    <row r="10" ht="40" customHeight="1" s="95">
      <c r="A10" s="60" t="n"/>
      <c r="B10" s="60" t="n"/>
      <c r="C10" s="60" t="inlineStr">
        <is>
          <t>미착공</t>
        </is>
      </c>
      <c r="D10" s="48" t="inlineStr">
        <is>
          <t>무거동 1532-1 일원 주상복합</t>
        </is>
      </c>
      <c r="E10" s="37" t="inlineStr">
        <is>
          <t>남구</t>
        </is>
      </c>
      <c r="F10" s="38" t="inlineStr">
        <is>
          <t>남구 무거동 1532-1번지 일원</t>
        </is>
      </c>
      <c r="G10" s="98" t="n">
        <v>188</v>
      </c>
      <c r="H10" s="56" t="inlineStr">
        <is>
          <t>2024.~2030.1.</t>
        </is>
      </c>
      <c r="I10" s="55" t="inlineStr">
        <is>
          <t>지연예정</t>
        </is>
      </c>
      <c r="J10" s="55" t="n">
        <v>2030</v>
      </c>
      <c r="K10" s="37" t="n">
        <v>0.06</v>
      </c>
      <c r="L10" s="96">
        <f>ROUNDDOWN(M10*25%,0)</f>
        <v/>
      </c>
      <c r="M10" s="99">
        <f>ROUNDDOWN(G10*K10,0)</f>
        <v/>
      </c>
      <c r="N10" s="97">
        <f>ROUND($G10*$K10/6,0)</f>
        <v/>
      </c>
      <c r="O10" s="97">
        <f>ROUND($G10*$K10/6,0)</f>
        <v/>
      </c>
      <c r="P10" s="97">
        <f>ROUND($G10*$K10/6,0)</f>
        <v/>
      </c>
      <c r="Q10" s="97">
        <f>ROUND($G10*$K10/6,0)</f>
        <v/>
      </c>
      <c r="R10" s="97">
        <f>ROUND($G10*$K10/6*50%,0)</f>
        <v/>
      </c>
      <c r="S10" s="97">
        <f>ROUND($G10*$K10/6*30%,0)</f>
        <v/>
      </c>
      <c r="T10" s="37" t="inlineStr">
        <is>
          <t>신복초 배치 가능</t>
        </is>
      </c>
      <c r="U10" s="0" t="n">
        <v>35.550819</v>
      </c>
      <c r="V10" s="0" t="n">
        <v>129.259418</v>
      </c>
    </row>
    <row r="11" ht="40" customHeight="1" s="95">
      <c r="A11" s="60" t="n"/>
      <c r="B11" s="60" t="n"/>
      <c r="C11" s="60" t="inlineStr">
        <is>
          <t>공사중지</t>
        </is>
      </c>
      <c r="D11" s="87" t="inlineStr">
        <is>
          <t>울산신복역비스타메트로</t>
        </is>
      </c>
      <c r="E11" s="20" t="inlineStr">
        <is>
          <t>남구</t>
        </is>
      </c>
      <c r="F11" s="24" t="inlineStr">
        <is>
          <t>남구 무거동 822-10 일원</t>
        </is>
      </c>
      <c r="G11" s="25" t="n">
        <v>581</v>
      </c>
      <c r="H11" s="59" t="inlineStr">
        <is>
          <t>2028이후</t>
        </is>
      </c>
      <c r="I11" s="55" t="n">
        <v>2028</v>
      </c>
      <c r="J11" s="82" t="n"/>
      <c r="K11" s="25" t="n">
        <v>0.12</v>
      </c>
      <c r="L11" s="96">
        <f>ROUNDDOWN(M11*25%,0)</f>
        <v/>
      </c>
      <c r="M11" s="99">
        <f>ROUNDDOWN(G11*K11,0)</f>
        <v/>
      </c>
      <c r="N11" s="97">
        <f>ROUND($G11*$K11/6,0)</f>
        <v/>
      </c>
      <c r="O11" s="97">
        <f>ROUND($G11*$K11/6,0)</f>
        <v/>
      </c>
      <c r="P11" s="97">
        <f>ROUND($G11*$K11/6,0)</f>
        <v/>
      </c>
      <c r="Q11" s="97">
        <f>ROUND($G11*$K11/6,0)</f>
        <v/>
      </c>
      <c r="R11" s="97">
        <f>ROUND($G11*$K11/6*50%,0)</f>
        <v/>
      </c>
      <c r="S11" s="97">
        <f>ROUND($G11*$K11/6*30%,0)</f>
        <v/>
      </c>
      <c r="T11" s="25" t="inlineStr">
        <is>
          <t>신복초 배치 가능</t>
        </is>
      </c>
      <c r="U11" s="0" t="n">
        <v>35.549514</v>
      </c>
      <c r="V11" s="0" t="n">
        <v>129.259711</v>
      </c>
    </row>
    <row r="12" ht="40" customHeight="1" s="95">
      <c r="A12" s="60" t="inlineStr">
        <is>
          <t>울산대 13m</t>
        </is>
      </c>
      <c r="B12" s="60" t="inlineStr">
        <is>
          <t>완료</t>
        </is>
      </c>
      <c r="C12" s="60" t="inlineStr">
        <is>
          <t>미착공</t>
        </is>
      </c>
      <c r="D12" s="48" t="inlineStr">
        <is>
          <t>무거동 855-5 일원 주상복합</t>
        </is>
      </c>
      <c r="E12" s="35" t="inlineStr">
        <is>
          <t>남구</t>
        </is>
      </c>
      <c r="F12" s="38" t="inlineStr">
        <is>
          <t>남구 무거동 855-5 일원</t>
        </is>
      </c>
      <c r="G12" s="26" t="n">
        <v>196</v>
      </c>
      <c r="H12" s="56" t="inlineStr">
        <is>
          <t>2023.3.~
2026.이후</t>
        </is>
      </c>
      <c r="I12" s="55" t="inlineStr">
        <is>
          <t>지연예정</t>
        </is>
      </c>
      <c r="J12" s="55" t="n">
        <v>2028</v>
      </c>
      <c r="K12" s="37" t="n">
        <v>0.11</v>
      </c>
      <c r="L12" s="96">
        <f>ROUNDDOWN(M12*25%,0)</f>
        <v/>
      </c>
      <c r="M12" s="99">
        <f>ROUNDDOWN(G12*K12,0)</f>
        <v/>
      </c>
      <c r="N12" s="97">
        <f>ROUND($G12*$K12/6,0)</f>
        <v/>
      </c>
      <c r="O12" s="97">
        <f>ROUND($G12*$K12/6,0)</f>
        <v/>
      </c>
      <c r="P12" s="97">
        <f>ROUND($G12*$K12/6,0)</f>
        <v/>
      </c>
      <c r="Q12" s="97">
        <f>ROUND($G12*$K12/6,0)</f>
        <v/>
      </c>
      <c r="R12" s="97">
        <f>ROUND($G12*$K12/6*50%,0)</f>
        <v/>
      </c>
      <c r="S12" s="97">
        <f>ROUND($G12*$K12/6*30%,0)</f>
        <v/>
      </c>
      <c r="T12" s="37" t="inlineStr">
        <is>
          <t>신복초 배치 가능</t>
        </is>
      </c>
      <c r="U12" s="0" t="n">
        <v>35.546271</v>
      </c>
      <c r="V12" s="0" t="n">
        <v>129.260851</v>
      </c>
    </row>
    <row r="13" ht="40" customHeight="1" s="95">
      <c r="A13" s="60" t="n"/>
      <c r="B13" s="60" t="n"/>
      <c r="C13" s="60" t="inlineStr">
        <is>
          <t>미착공</t>
        </is>
      </c>
      <c r="D13" s="52" t="inlineStr">
        <is>
          <t>삼산동 1559-6 일원 주상복합</t>
        </is>
      </c>
      <c r="E13" s="35" t="inlineStr">
        <is>
          <t>남구</t>
        </is>
      </c>
      <c r="F13" s="38" t="inlineStr">
        <is>
          <t>남구 삼산동 1559-6 일원</t>
        </is>
      </c>
      <c r="G13" s="37" t="n">
        <v>280</v>
      </c>
      <c r="H13" s="54" t="inlineStr">
        <is>
          <t>2026.이후</t>
        </is>
      </c>
      <c r="I13" s="55" t="inlineStr">
        <is>
          <t>지연예정</t>
        </is>
      </c>
      <c r="J13" s="55" t="n">
        <v>2028</v>
      </c>
      <c r="K13" s="37" t="n">
        <v>0.1</v>
      </c>
      <c r="L13" s="37">
        <f>ROUNDDOWN(M13*25%,0)</f>
        <v/>
      </c>
      <c r="M13" s="37">
        <f>ROUNDDOWN(G13*K13,0)</f>
        <v/>
      </c>
      <c r="N13" s="97">
        <f>ROUND($G13*$K13/6,0)</f>
        <v/>
      </c>
      <c r="O13" s="97">
        <f>ROUND($G13*$K13/6,0)</f>
        <v/>
      </c>
      <c r="P13" s="97">
        <f>ROUND($G13*$K13/6,0)</f>
        <v/>
      </c>
      <c r="Q13" s="97">
        <f>ROUND($G13*$K13/6,0)</f>
        <v/>
      </c>
      <c r="R13" s="97">
        <f>ROUND($G13*$K13/6*50%,0)</f>
        <v/>
      </c>
      <c r="S13" s="97">
        <f>ROUND($G13*$K13/6*30%,0)</f>
        <v/>
      </c>
      <c r="T13" s="37" t="inlineStr">
        <is>
          <t>백합초 배치 가능</t>
        </is>
      </c>
      <c r="U13" s="0" t="n">
        <v>35.540852</v>
      </c>
      <c r="V13" s="0" t="n">
        <v>129.343688</v>
      </c>
    </row>
    <row r="14" ht="40" customHeight="1" s="95">
      <c r="A14" s="60" t="n"/>
      <c r="B14" s="60" t="n"/>
      <c r="C14" s="60" t="inlineStr">
        <is>
          <t>미착공</t>
        </is>
      </c>
      <c r="D14" s="48" t="inlineStr">
        <is>
          <t>삼산동 1639-2 일원 주상복합</t>
        </is>
      </c>
      <c r="E14" s="35" t="inlineStr">
        <is>
          <t>남구</t>
        </is>
      </c>
      <c r="F14" s="38" t="inlineStr">
        <is>
          <t>남구 삼산동 1639-2 일원</t>
        </is>
      </c>
      <c r="G14" s="26" t="n">
        <v>231</v>
      </c>
      <c r="H14" s="56" t="inlineStr">
        <is>
          <t>2023.~
2026.이후</t>
        </is>
      </c>
      <c r="I14" s="55" t="inlineStr">
        <is>
          <t>지연예정</t>
        </is>
      </c>
      <c r="J14" s="55" t="n">
        <v>2028</v>
      </c>
      <c r="K14" s="37" t="n">
        <v>0.1</v>
      </c>
      <c r="L14" s="96">
        <f>ROUNDDOWN(M14*25%,0)</f>
        <v/>
      </c>
      <c r="M14" s="99">
        <f>ROUNDDOWN(G14*K14,0)</f>
        <v/>
      </c>
      <c r="N14" s="97">
        <f>ROUND($G14*$K14/6,0)</f>
        <v/>
      </c>
      <c r="O14" s="97">
        <f>ROUND($G14*$K14/6,0)</f>
        <v/>
      </c>
      <c r="P14" s="97">
        <f>ROUND($G14*$K14/6,0)</f>
        <v/>
      </c>
      <c r="Q14" s="97">
        <f>ROUND($G14*$K14/6,0)</f>
        <v/>
      </c>
      <c r="R14" s="97">
        <f>ROUND($G14*$K14/6*50%,0)</f>
        <v/>
      </c>
      <c r="S14" s="97">
        <f>ROUND($G14*$K14/6*30%,0)</f>
        <v/>
      </c>
      <c r="T14" s="37" t="inlineStr">
        <is>
          <t>삼산초 배치 가능</t>
        </is>
      </c>
      <c r="U14" s="0" t="n">
        <v>35.53942</v>
      </c>
      <c r="V14" s="0" t="n">
        <v>129.350458</v>
      </c>
    </row>
    <row r="15" ht="40" customHeight="1" s="95">
      <c r="A15" s="60" t="n"/>
      <c r="B15" s="60" t="n"/>
      <c r="C15" s="60" t="inlineStr">
        <is>
          <t>미착공</t>
        </is>
      </c>
      <c r="D15" s="48" t="inlineStr">
        <is>
          <t>삼산동 1641-4 일원 주상복합</t>
        </is>
      </c>
      <c r="E15" s="35" t="inlineStr">
        <is>
          <t>남구</t>
        </is>
      </c>
      <c r="F15" s="38" t="inlineStr">
        <is>
          <t>남구 삼산동 1641-4 일원</t>
        </is>
      </c>
      <c r="G15" s="26" t="n">
        <v>216</v>
      </c>
      <c r="H15" s="56" t="inlineStr">
        <is>
          <t>2023.3.~
2026.12.이후</t>
        </is>
      </c>
      <c r="I15" s="55" t="inlineStr">
        <is>
          <t>지연예정</t>
        </is>
      </c>
      <c r="J15" s="55" t="n">
        <v>2028</v>
      </c>
      <c r="K15" s="20" t="n">
        <v>0.1</v>
      </c>
      <c r="L15" s="37">
        <f>ROUNDDOWN(M15*25%,0)</f>
        <v/>
      </c>
      <c r="M15" s="37">
        <f>ROUNDDOWN(G15*K15,0)</f>
        <v/>
      </c>
      <c r="N15" s="97">
        <f>ROUND($G15*$K15/6,0)</f>
        <v/>
      </c>
      <c r="O15" s="97">
        <f>ROUND($G15*$K15/6,0)</f>
        <v/>
      </c>
      <c r="P15" s="97">
        <f>ROUND($G15*$K15/6,0)</f>
        <v/>
      </c>
      <c r="Q15" s="97">
        <f>ROUND($G15*$K15/6,0)</f>
        <v/>
      </c>
      <c r="R15" s="97">
        <f>ROUND($G15*$K15/6*50%,0)</f>
        <v/>
      </c>
      <c r="S15" s="97">
        <f>ROUND($G15*$K15/6*30%,0)</f>
        <v/>
      </c>
      <c r="T15" s="37" t="inlineStr">
        <is>
          <t>삼산초 배치 가능</t>
        </is>
      </c>
      <c r="U15" s="0" t="n">
        <v>35.539045</v>
      </c>
      <c r="V15" s="0" t="n">
        <v>129.348076</v>
      </c>
    </row>
    <row r="16" ht="40" customHeight="1" s="95">
      <c r="A16" s="60" t="n"/>
      <c r="B16" s="60" t="n"/>
      <c r="C16" s="60" t="inlineStr">
        <is>
          <t>미착공</t>
        </is>
      </c>
      <c r="D16" s="49" t="inlineStr">
        <is>
          <t>삼산동 1655-1번지 일원 주상복합
(㈜세원개발)</t>
        </is>
      </c>
      <c r="E16" s="20" t="inlineStr">
        <is>
          <t>남구</t>
        </is>
      </c>
      <c r="F16" s="24" t="inlineStr">
        <is>
          <t>남구 삼산동 1655-1 일원</t>
        </is>
      </c>
      <c r="G16" s="25" t="n">
        <v>154</v>
      </c>
      <c r="H16" s="58" t="inlineStr">
        <is>
          <t>2027.1.이후</t>
        </is>
      </c>
      <c r="I16" s="55" t="inlineStr">
        <is>
          <t>지연예정</t>
        </is>
      </c>
      <c r="J16" s="55" t="n">
        <v>2028</v>
      </c>
      <c r="K16" s="25" t="n">
        <v>0.12</v>
      </c>
      <c r="L16" s="96">
        <f>ROUNDDOWN(M16*25%,0)</f>
        <v/>
      </c>
      <c r="M16" s="99">
        <f>ROUNDDOWN(G16*K16,0)</f>
        <v/>
      </c>
      <c r="N16" s="97">
        <f>ROUND($G16*$K16/6,0)</f>
        <v/>
      </c>
      <c r="O16" s="97">
        <f>ROUND($G16*$K16/6,0)</f>
        <v/>
      </c>
      <c r="P16" s="97">
        <f>ROUND($G16*$K16/6,0)</f>
        <v/>
      </c>
      <c r="Q16" s="97">
        <f>ROUND($G16*$K16/6,0)</f>
        <v/>
      </c>
      <c r="R16" s="97">
        <f>ROUND($G16*$K16/6*50%,0)</f>
        <v/>
      </c>
      <c r="S16" s="97">
        <f>ROUND($G16*$K16/6*30%,0)</f>
        <v/>
      </c>
      <c r="T16" s="25" t="inlineStr">
        <is>
          <t>삼산초 배치 가능</t>
        </is>
      </c>
      <c r="U16" s="0" t="n">
        <v>35.535577</v>
      </c>
      <c r="V16" s="0" t="n">
        <v>129.350785</v>
      </c>
    </row>
    <row r="17" ht="40" customHeight="1" s="95">
      <c r="A17" s="60" t="n"/>
      <c r="B17" s="60" t="n"/>
      <c r="C17" s="60" t="inlineStr">
        <is>
          <t>미착공</t>
        </is>
      </c>
      <c r="D17" s="52" t="inlineStr">
        <is>
          <t>삼산동 1656-1 일원 주상복합</t>
        </is>
      </c>
      <c r="E17" s="35" t="inlineStr">
        <is>
          <t>남구</t>
        </is>
      </c>
      <c r="F17" s="38" t="inlineStr">
        <is>
          <t>남구 삼산동 1656-1 일원</t>
        </is>
      </c>
      <c r="G17" s="26" t="n">
        <v>196</v>
      </c>
      <c r="H17" s="56" t="inlineStr">
        <is>
          <t>2022.10.~
2026.9.이후</t>
        </is>
      </c>
      <c r="I17" s="55" t="inlineStr">
        <is>
          <t>지연예정</t>
        </is>
      </c>
      <c r="J17" s="55" t="n">
        <v>2028</v>
      </c>
      <c r="K17" s="20" t="n">
        <v>0.1</v>
      </c>
      <c r="L17" s="37">
        <f>ROUNDDOWN(M17*25%,0)</f>
        <v/>
      </c>
      <c r="M17" s="37">
        <f>ROUNDDOWN(G17*K17,0)</f>
        <v/>
      </c>
      <c r="N17" s="97">
        <f>ROUND($G17*$K17/6,0)</f>
        <v/>
      </c>
      <c r="O17" s="97">
        <f>ROUND($G17*$K17/6,0)</f>
        <v/>
      </c>
      <c r="P17" s="97">
        <f>ROUND($G17*$K17/6,0)</f>
        <v/>
      </c>
      <c r="Q17" s="97">
        <f>ROUND($G17*$K17/6,0)</f>
        <v/>
      </c>
      <c r="R17" s="97">
        <f>ROUND($G17*$K17/6*50%,0)</f>
        <v/>
      </c>
      <c r="S17" s="97">
        <f>ROUND($G17*$K17/6*30%,0)</f>
        <v/>
      </c>
      <c r="T17" s="37" t="inlineStr">
        <is>
          <t>삼산초 배치 가능</t>
        </is>
      </c>
      <c r="U17" s="0" t="n">
        <v>35.53478</v>
      </c>
      <c r="V17" s="0" t="n">
        <v>129.350106</v>
      </c>
    </row>
    <row r="18" ht="40" customHeight="1" s="95">
      <c r="A18" s="60" t="n"/>
      <c r="B18" s="60" t="n"/>
      <c r="C18" s="60" t="inlineStr">
        <is>
          <t>미착공</t>
        </is>
      </c>
      <c r="D18" s="52" t="inlineStr">
        <is>
          <t>삼산동 224-1 주상복합</t>
        </is>
      </c>
      <c r="E18" s="35" t="inlineStr">
        <is>
          <t>남구</t>
        </is>
      </c>
      <c r="F18" s="38" t="inlineStr">
        <is>
          <t>남구 삼산동 224-1 일원</t>
        </is>
      </c>
      <c r="G18" s="37" t="n">
        <v>149</v>
      </c>
      <c r="H18" s="54" t="inlineStr">
        <is>
          <t>2026.1.이후</t>
        </is>
      </c>
      <c r="I18" s="55" t="inlineStr">
        <is>
          <t>지연예정</t>
        </is>
      </c>
      <c r="J18" s="55" t="n">
        <v>2028</v>
      </c>
      <c r="K18" s="37" t="n">
        <v>0.1</v>
      </c>
      <c r="L18" s="37">
        <f>ROUNDDOWN(M18*25%,0)</f>
        <v/>
      </c>
      <c r="M18" s="37">
        <f>ROUNDDOWN(G18*K18,0)</f>
        <v/>
      </c>
      <c r="N18" s="97">
        <f>ROUND($G18*$K18/6,0)</f>
        <v/>
      </c>
      <c r="O18" s="97">
        <f>ROUND($G18*$K18/6,0)</f>
        <v/>
      </c>
      <c r="P18" s="97">
        <f>ROUND($G18*$K18/6,0)</f>
        <v/>
      </c>
      <c r="Q18" s="97">
        <f>ROUND($G18*$K18/6,0)</f>
        <v/>
      </c>
      <c r="R18" s="97">
        <f>ROUND($G18*$K18/6*50%,0)</f>
        <v/>
      </c>
      <c r="S18" s="97">
        <f>ROUND($G18*$K18/6*30%,0)</f>
        <v/>
      </c>
      <c r="T18" s="37" t="inlineStr">
        <is>
          <t>삼산초 배치 가능</t>
        </is>
      </c>
      <c r="U18" s="0" t="n">
        <v>35.540728</v>
      </c>
      <c r="V18" s="0" t="n">
        <v>129.347413</v>
      </c>
    </row>
    <row r="19" ht="40" customHeight="1" s="95">
      <c r="A19" s="60" t="n"/>
      <c r="B19" s="60" t="n"/>
      <c r="C19" s="60" t="inlineStr">
        <is>
          <t>미착공</t>
        </is>
      </c>
      <c r="D19" s="48" t="inlineStr">
        <is>
          <t>삼산동 227-8 일원 주상복합</t>
        </is>
      </c>
      <c r="E19" s="37" t="inlineStr">
        <is>
          <t>남구</t>
        </is>
      </c>
      <c r="F19" s="38" t="inlineStr">
        <is>
          <t>남구 삼산동 227-8 일원</t>
        </is>
      </c>
      <c r="G19" s="98" t="n">
        <v>225</v>
      </c>
      <c r="H19" s="56" t="inlineStr">
        <is>
          <t>2023.~
2026.11.이후</t>
        </is>
      </c>
      <c r="I19" s="55" t="inlineStr">
        <is>
          <t>지연예정</t>
        </is>
      </c>
      <c r="J19" s="55" t="n">
        <v>2028</v>
      </c>
      <c r="K19" s="37" t="n">
        <v>0.1</v>
      </c>
      <c r="L19" s="37">
        <f>ROUNDDOWN(M19*25%,0)</f>
        <v/>
      </c>
      <c r="M19" s="37">
        <f>ROUNDDOWN(G19*K19,0)</f>
        <v/>
      </c>
      <c r="N19" s="97">
        <f>ROUND($G19*$K19/6,0)</f>
        <v/>
      </c>
      <c r="O19" s="97">
        <f>ROUND($G19*$K19/6,0)</f>
        <v/>
      </c>
      <c r="P19" s="97">
        <f>ROUND($G19*$K19/6,0)</f>
        <v/>
      </c>
      <c r="Q19" s="97">
        <f>ROUND($G19*$K19/6,0)</f>
        <v/>
      </c>
      <c r="R19" s="97">
        <f>ROUND($G19*$K19/6*50%,0)</f>
        <v/>
      </c>
      <c r="S19" s="97">
        <f>ROUND($G19*$K19/6*30%,0)</f>
        <v/>
      </c>
      <c r="T19" s="37" t="inlineStr">
        <is>
          <t>삼산초 배치 가능</t>
        </is>
      </c>
      <c r="U19" s="0" t="n">
        <v>35.540341</v>
      </c>
      <c r="V19" s="0" t="n">
        <v>129.344828</v>
      </c>
    </row>
    <row r="20" ht="40" customHeight="1" s="95">
      <c r="A20" s="60" t="n"/>
      <c r="B20" s="60" t="inlineStr">
        <is>
          <t>완료</t>
        </is>
      </c>
      <c r="C20" s="60" t="inlineStr">
        <is>
          <t>해체공사(24.2.~24.12.)</t>
        </is>
      </c>
      <c r="D20" s="48" t="inlineStr">
        <is>
          <t>신정동 1094 일원 주상복합</t>
        </is>
      </c>
      <c r="E20" s="35" t="inlineStr">
        <is>
          <t>남구</t>
        </is>
      </c>
      <c r="F20" s="38" t="inlineStr">
        <is>
          <t>남구 신정동 1094번지 일원</t>
        </is>
      </c>
      <c r="G20" s="26" t="n">
        <v>313</v>
      </c>
      <c r="H20" s="56" t="inlineStr">
        <is>
          <t>2026.12.이후</t>
        </is>
      </c>
      <c r="I20" s="55" t="inlineStr">
        <is>
          <t>지연예정</t>
        </is>
      </c>
      <c r="J20" s="55" t="n">
        <v>2028</v>
      </c>
      <c r="K20" s="37" t="n">
        <v>0.12</v>
      </c>
      <c r="L20" s="96">
        <f>ROUNDDOWN(M20*25%,0)</f>
        <v/>
      </c>
      <c r="M20" s="99">
        <f>ROUNDDOWN(G20*K20,0)</f>
        <v/>
      </c>
      <c r="N20" s="97">
        <f>ROUND($G20*$K20/6,0)</f>
        <v/>
      </c>
      <c r="O20" s="97">
        <f>ROUND($G20*$K20/6,0)</f>
        <v/>
      </c>
      <c r="P20" s="97">
        <f>ROUND($G20*$K20/6,0)</f>
        <v/>
      </c>
      <c r="Q20" s="97">
        <f>ROUND($G20*$K20/6,0)</f>
        <v/>
      </c>
      <c r="R20" s="97">
        <f>ROUND($G20*$K20/6*50%,0)</f>
        <v/>
      </c>
      <c r="S20" s="97">
        <f>ROUND($G20*$K20/6*30%,0)</f>
        <v/>
      </c>
      <c r="T20" s="37" t="inlineStr">
        <is>
          <t>월평초 배치 가능</t>
        </is>
      </c>
      <c r="U20" s="0" t="n">
        <v>35.537777</v>
      </c>
      <c r="V20" s="0" t="n">
        <v>129.305112</v>
      </c>
    </row>
    <row r="21" ht="40" customHeight="1" s="95">
      <c r="A21" s="60" t="n"/>
      <c r="B21" s="60" t="inlineStr">
        <is>
          <t>완료</t>
        </is>
      </c>
      <c r="C21" s="60" t="inlineStr">
        <is>
          <t>착공</t>
        </is>
      </c>
      <c r="D21" s="50" t="inlineStr">
        <is>
          <t>더폴울산신정</t>
        </is>
      </c>
      <c r="E21" s="20" t="inlineStr">
        <is>
          <t>남구</t>
        </is>
      </c>
      <c r="F21" s="24" t="inlineStr">
        <is>
          <t>남구 신정동 1133-14 일원</t>
        </is>
      </c>
      <c r="G21" s="25" t="n">
        <v>204</v>
      </c>
      <c r="H21" s="59" t="inlineStr">
        <is>
          <t>2027.2.</t>
        </is>
      </c>
      <c r="I21" s="57" t="n">
        <v>2027</v>
      </c>
      <c r="J21" s="80" t="n"/>
      <c r="K21" s="25" t="n">
        <v>0.21</v>
      </c>
      <c r="L21" s="96">
        <f>ROUNDDOWN(M21*25%,0)</f>
        <v/>
      </c>
      <c r="M21" s="99">
        <f>ROUNDDOWN(G21*K21,0)</f>
        <v/>
      </c>
      <c r="N21" s="97">
        <f>ROUND($G21*$K21/6,0)</f>
        <v/>
      </c>
      <c r="O21" s="97">
        <f>ROUND($G21*$K21/6,0)</f>
        <v/>
      </c>
      <c r="P21" s="97">
        <f>ROUND($G21*$K21/6,0)</f>
        <v/>
      </c>
      <c r="Q21" s="97">
        <f>ROUND($G21*$K21/6,0)</f>
        <v/>
      </c>
      <c r="R21" s="97">
        <f>ROUND($G21*$K21/6*50%,0)</f>
        <v/>
      </c>
      <c r="S21" s="97">
        <f>ROUND($G21*$K21/6*30%,0)</f>
        <v/>
      </c>
      <c r="T21" s="20" t="inlineStr">
        <is>
          <t>신정초 증축 후 배치</t>
        </is>
      </c>
      <c r="U21" s="0" t="n">
        <v>35.5402873</v>
      </c>
      <c r="V21" s="0" t="n">
        <v>129.3063644</v>
      </c>
    </row>
    <row r="22" ht="40" customHeight="1" s="95">
      <c r="A22" s="60" t="n"/>
      <c r="B22" s="60" t="inlineStr">
        <is>
          <t>완료</t>
        </is>
      </c>
      <c r="C22" s="60" t="inlineStr">
        <is>
          <t>착공</t>
        </is>
      </c>
      <c r="D22" s="50" t="inlineStr">
        <is>
          <t>e편한세상신정스카이하임</t>
        </is>
      </c>
      <c r="E22" s="20" t="inlineStr">
        <is>
          <t>남구</t>
        </is>
      </c>
      <c r="F22" s="24" t="inlineStr">
        <is>
          <t>남구 신정동 1136-3</t>
        </is>
      </c>
      <c r="G22" s="25" t="n">
        <v>221</v>
      </c>
      <c r="H22" s="59" t="inlineStr">
        <is>
          <t>2026.10.</t>
        </is>
      </c>
      <c r="I22" s="57" t="n">
        <v>2026</v>
      </c>
      <c r="J22" s="80" t="n"/>
      <c r="K22" s="25" t="n">
        <v>0.21</v>
      </c>
      <c r="L22" s="96">
        <f>ROUNDDOWN(M22*25%,0)</f>
        <v/>
      </c>
      <c r="M22" s="99">
        <f>ROUNDDOWN(G22*K22,0)</f>
        <v/>
      </c>
      <c r="N22" s="97">
        <f>ROUND($G22*$K22/6,0)</f>
        <v/>
      </c>
      <c r="O22" s="97">
        <f>ROUND($G22*$K22/6,0)</f>
        <v/>
      </c>
      <c r="P22" s="97">
        <f>ROUND($G22*$K22/6,0)</f>
        <v/>
      </c>
      <c r="Q22" s="97">
        <f>ROUND($G22*$K22/6,0)</f>
        <v/>
      </c>
      <c r="R22" s="97">
        <f>ROUND($G22*$K22/6*50%,0)</f>
        <v/>
      </c>
      <c r="S22" s="97">
        <f>ROUND($G22*$K22/6*30%,0)</f>
        <v/>
      </c>
      <c r="T22" s="20" t="inlineStr">
        <is>
          <t>신정초 증축 후 배치</t>
        </is>
      </c>
      <c r="U22" s="0" t="n">
        <v>35.5394708</v>
      </c>
      <c r="V22" s="0" t="n">
        <v>129.3057807</v>
      </c>
    </row>
    <row r="23" ht="40" customHeight="1" s="95">
      <c r="A23" s="60" t="n"/>
      <c r="B23" s="60" t="inlineStr">
        <is>
          <t>완료</t>
        </is>
      </c>
      <c r="C23" s="60" t="inlineStr">
        <is>
          <t>착공</t>
        </is>
      </c>
      <c r="D23" s="49" t="inlineStr">
        <is>
          <t>문수로센트레빌에듀리체</t>
        </is>
      </c>
      <c r="E23" s="20" t="inlineStr">
        <is>
          <t>남구</t>
        </is>
      </c>
      <c r="F23" s="16" t="inlineStr">
        <is>
          <t>남구 신정동 1151-1 일원</t>
        </is>
      </c>
      <c r="G23" s="26" t="n">
        <v>368</v>
      </c>
      <c r="H23" s="67" t="inlineStr">
        <is>
          <t>2026.12.
→ 2028.3.</t>
        </is>
      </c>
      <c r="I23" s="68" t="n">
        <v>2028</v>
      </c>
      <c r="J23" s="83" t="n"/>
      <c r="K23" s="20" t="n">
        <v>0.14</v>
      </c>
      <c r="L23" s="96">
        <f>ROUNDDOWN(M23*25%,0)</f>
        <v/>
      </c>
      <c r="M23" s="99">
        <f>ROUNDDOWN(G23*K23,0)</f>
        <v/>
      </c>
      <c r="N23" s="97">
        <f>ROUND($G23*$K23/6,0)</f>
        <v/>
      </c>
      <c r="O23" s="97">
        <f>ROUND($G23*$K23/6,0)</f>
        <v/>
      </c>
      <c r="P23" s="97">
        <f>ROUND($G23*$K23/6,0)</f>
        <v/>
      </c>
      <c r="Q23" s="97">
        <f>ROUND($G23*$K23/6,0)</f>
        <v/>
      </c>
      <c r="R23" s="97">
        <f>ROUND($G23*$K23/6*50%,0)</f>
        <v/>
      </c>
      <c r="S23" s="97">
        <f>ROUND($G23*$K23/6*30%,0)</f>
        <v/>
      </c>
      <c r="T23" s="20" t="inlineStr">
        <is>
          <t>신정초 증축 후 배치</t>
        </is>
      </c>
      <c r="U23" s="0" t="n">
        <v>35.5384301</v>
      </c>
      <c r="V23" s="0" t="n">
        <v>129.3070876</v>
      </c>
    </row>
    <row r="24" ht="40" customHeight="1" s="95">
      <c r="A24" s="60" t="n"/>
      <c r="B24" s="60" t="inlineStr">
        <is>
          <t>완료</t>
        </is>
      </c>
      <c r="C24" s="60" t="inlineStr">
        <is>
          <t>착공</t>
        </is>
      </c>
      <c r="D24" s="49" t="inlineStr">
        <is>
          <t>문수로아테라</t>
        </is>
      </c>
      <c r="E24" s="20" t="inlineStr">
        <is>
          <t>남구</t>
        </is>
      </c>
      <c r="F24" s="16" t="inlineStr">
        <is>
          <t>남구 신정동 1154-7 일원</t>
        </is>
      </c>
      <c r="G24" s="26" t="n">
        <v>402</v>
      </c>
      <c r="H24" s="58" t="inlineStr">
        <is>
          <t>2025.12.</t>
        </is>
      </c>
      <c r="I24" s="57" t="n">
        <v>2026</v>
      </c>
      <c r="J24" s="21" t="n"/>
      <c r="K24" s="33" t="n">
        <v>0.12</v>
      </c>
      <c r="L24" s="96">
        <f>ROUNDDOWN(M24*25%,0)</f>
        <v/>
      </c>
      <c r="M24" s="99">
        <f>ROUNDDOWN(G24*K24,0)</f>
        <v/>
      </c>
      <c r="N24" s="97">
        <f>ROUND($G24*$K24/6,0)</f>
        <v/>
      </c>
      <c r="O24" s="97">
        <f>ROUND($G24*$K24/6,0)</f>
        <v/>
      </c>
      <c r="P24" s="97">
        <f>ROUND($G24*$K24/6,0)</f>
        <v/>
      </c>
      <c r="Q24" s="97">
        <f>ROUND($G24*$K24/6,0)</f>
        <v/>
      </c>
      <c r="R24" s="97">
        <f>ROUND($G24*$K24/6*50%,0)</f>
        <v/>
      </c>
      <c r="S24" s="97">
        <f>ROUND($G24*$K24/6*30%,0)</f>
        <v/>
      </c>
      <c r="T24" s="20" t="inlineStr">
        <is>
          <t>신정초 증축 후 배치</t>
        </is>
      </c>
      <c r="U24" s="0" t="n">
        <v>35.5376989</v>
      </c>
      <c r="V24" s="0" t="n">
        <v>129.3071321</v>
      </c>
    </row>
    <row r="25" ht="40" customHeight="1" s="95">
      <c r="A25" s="60" t="inlineStr">
        <is>
          <t>울여고 10m</t>
        </is>
      </c>
      <c r="B25" s="60" t="inlineStr">
        <is>
          <t>완료</t>
        </is>
      </c>
      <c r="C25" s="60" t="inlineStr">
        <is>
          <t>미착공</t>
        </is>
      </c>
      <c r="D25" s="49" t="inlineStr">
        <is>
          <t>신정동 1201-1 일원 주상복합</t>
        </is>
      </c>
      <c r="E25" s="20" t="inlineStr">
        <is>
          <t>남구</t>
        </is>
      </c>
      <c r="F25" s="27" t="inlineStr">
        <is>
          <t>남구 신정동 1201-1 일원</t>
        </is>
      </c>
      <c r="G25" s="20" t="n">
        <v>489</v>
      </c>
      <c r="H25" s="58" t="inlineStr">
        <is>
          <t>2026.중순 이후</t>
        </is>
      </c>
      <c r="I25" s="55" t="inlineStr">
        <is>
          <t>지연예정</t>
        </is>
      </c>
      <c r="J25" s="70" t="n">
        <v>2028</v>
      </c>
      <c r="K25" s="20" t="n">
        <v>0.21</v>
      </c>
      <c r="L25" s="96">
        <f>ROUNDDOWN(M25*25%,0)</f>
        <v/>
      </c>
      <c r="M25" s="96">
        <f>ROUNDDOWN(G25*K25,0)</f>
        <v/>
      </c>
      <c r="N25" s="97">
        <f>ROUND($G25*$K25/6,0)</f>
        <v/>
      </c>
      <c r="O25" s="97">
        <f>ROUND($G25*$K25/6,0)</f>
        <v/>
      </c>
      <c r="P25" s="97">
        <f>ROUND($G25*$K25/6,0)</f>
        <v/>
      </c>
      <c r="Q25" s="97">
        <f>ROUND($G25*$K25/6,0)</f>
        <v/>
      </c>
      <c r="R25" s="97">
        <f>ROUND($G25*$K25/6*50%,0)</f>
        <v/>
      </c>
      <c r="S25" s="97">
        <f>ROUND($G25*$K25/6*30%,0)</f>
        <v/>
      </c>
      <c r="T25" s="20" t="inlineStr">
        <is>
          <t>신정초 배치 가능</t>
        </is>
      </c>
      <c r="U25" s="0" t="n">
        <v>35.53583</v>
      </c>
      <c r="V25" s="0" t="n">
        <v>129.307041</v>
      </c>
    </row>
    <row r="26" ht="40" customHeight="1" s="95">
      <c r="A26" s="60" t="n"/>
      <c r="B26" s="60" t="inlineStr">
        <is>
          <t>완료</t>
        </is>
      </c>
      <c r="C26" s="60" t="inlineStr">
        <is>
          <t>미착공</t>
        </is>
      </c>
      <c r="D26" s="52" t="inlineStr">
        <is>
          <t>신정동 1232-1 일원 주상복합</t>
        </is>
      </c>
      <c r="E26" s="35" t="inlineStr">
        <is>
          <t>남구</t>
        </is>
      </c>
      <c r="F26" s="38" t="inlineStr">
        <is>
          <t>남구 신정동 1232-1 일원</t>
        </is>
      </c>
      <c r="G26" s="37" t="n">
        <v>195</v>
      </c>
      <c r="H26" s="56" t="inlineStr">
        <is>
          <t>2022.10.~
2026.이후</t>
        </is>
      </c>
      <c r="I26" s="55" t="inlineStr">
        <is>
          <t>지연예정</t>
        </is>
      </c>
      <c r="J26" s="70" t="n">
        <v>2028</v>
      </c>
      <c r="K26" s="37" t="n">
        <v>0.12</v>
      </c>
      <c r="L26" s="96">
        <f>ROUNDDOWN(M26*25%,0)</f>
        <v/>
      </c>
      <c r="M26" s="99">
        <f>ROUNDDOWN(G26*K26,0)</f>
        <v/>
      </c>
      <c r="N26" s="97">
        <f>ROUND($G26*$K26/6,0)</f>
        <v/>
      </c>
      <c r="O26" s="97">
        <f>ROUND($G26*$K26/6,0)</f>
        <v/>
      </c>
      <c r="P26" s="97">
        <f>ROUND($G26*$K26/6,0)</f>
        <v/>
      </c>
      <c r="Q26" s="97">
        <f>ROUND($G26*$K26/6,0)</f>
        <v/>
      </c>
      <c r="R26" s="97">
        <f>ROUND($G26*$K26/6*50%,0)</f>
        <v/>
      </c>
      <c r="S26" s="97">
        <f>ROUND($G26*$K26/6*30%,0)</f>
        <v/>
      </c>
      <c r="T26" s="37" t="inlineStr">
        <is>
          <t>월평초 배치 가능</t>
        </is>
      </c>
      <c r="U26" s="0" t="n">
        <v>35.532617</v>
      </c>
      <c r="V26" s="0" t="n">
        <v>129.309978</v>
      </c>
    </row>
    <row r="27" ht="40" customHeight="1" s="95">
      <c r="A27" s="60" t="n"/>
      <c r="B27" s="60" t="inlineStr">
        <is>
          <t>완료</t>
        </is>
      </c>
      <c r="C27" s="60" t="inlineStr">
        <is>
          <t>미착공</t>
        </is>
      </c>
      <c r="D27" s="48" t="inlineStr">
        <is>
          <t>신정동 1235-1 일원 주상복합</t>
        </is>
      </c>
      <c r="E27" s="35" t="inlineStr">
        <is>
          <t>남구</t>
        </is>
      </c>
      <c r="F27" s="38" t="inlineStr">
        <is>
          <t>남구 신정동 1235-1 일원</t>
        </is>
      </c>
      <c r="G27" s="37" t="n">
        <v>160</v>
      </c>
      <c r="H27" s="56" t="inlineStr">
        <is>
          <t>2025.12.
→ 2028.6.이후</t>
        </is>
      </c>
      <c r="I27" s="55" t="inlineStr">
        <is>
          <t>지연예정</t>
        </is>
      </c>
      <c r="J27" s="70" t="n">
        <v>2028</v>
      </c>
      <c r="K27" s="37" t="n">
        <v>0.21</v>
      </c>
      <c r="L27" s="96">
        <f>ROUNDDOWN(M27*25%,0)</f>
        <v/>
      </c>
      <c r="M27" s="96">
        <f>ROUNDDOWN(G27*K27,0)</f>
        <v/>
      </c>
      <c r="N27" s="97">
        <f>ROUND($G27*$K27/6,0)</f>
        <v/>
      </c>
      <c r="O27" s="97">
        <f>ROUND($G27*$K27/6,0)</f>
        <v/>
      </c>
      <c r="P27" s="97">
        <f>ROUND($G27*$K27/6,0)</f>
        <v/>
      </c>
      <c r="Q27" s="97">
        <f>ROUND($G27*$K27/6,0)</f>
        <v/>
      </c>
      <c r="R27" s="97">
        <f>ROUND($G27*$K27/6*50%,0)</f>
        <v/>
      </c>
      <c r="S27" s="97">
        <f>ROUND($G27*$K27/6*30%,0)</f>
        <v/>
      </c>
      <c r="T27" s="37" t="inlineStr">
        <is>
          <t>신정초 배치 가능</t>
        </is>
      </c>
      <c r="U27" s="0" t="n">
        <v>35.540289</v>
      </c>
      <c r="V27" s="0" t="n">
        <v>129.305316</v>
      </c>
    </row>
    <row r="28" ht="40" customHeight="1" s="95">
      <c r="A28" s="60" t="inlineStr">
        <is>
          <t>신정초 7.5m</t>
        </is>
      </c>
      <c r="B28" s="60" t="inlineStr">
        <is>
          <t>완료</t>
        </is>
      </c>
      <c r="C28" s="60" t="inlineStr">
        <is>
          <t>미착공</t>
        </is>
      </c>
      <c r="D28" s="48" t="inlineStr">
        <is>
          <t>신정동 1238-10 일원 주상복합</t>
        </is>
      </c>
      <c r="E28" s="35" t="inlineStr">
        <is>
          <t>남구</t>
        </is>
      </c>
      <c r="F28" s="38" t="inlineStr">
        <is>
          <t>남구 신정동 1238-10 일원</t>
        </is>
      </c>
      <c r="G28" s="26" t="n">
        <v>256</v>
      </c>
      <c r="H28" s="56" t="inlineStr">
        <is>
          <t>2028. 하반기
→ 2028.12.</t>
        </is>
      </c>
      <c r="I28" s="69" t="n">
        <v>2029</v>
      </c>
      <c r="J28" s="85" t="n"/>
      <c r="K28" s="37" t="n">
        <v>0.21</v>
      </c>
      <c r="L28" s="96">
        <f>ROUNDDOWN(M28*25%,0)</f>
        <v/>
      </c>
      <c r="M28" s="99">
        <f>ROUNDDOWN(G28*K28,0)</f>
        <v/>
      </c>
      <c r="N28" s="97">
        <f>ROUND($G28*$K28/6,0)</f>
        <v/>
      </c>
      <c r="O28" s="97">
        <f>ROUND($G28*$K28/6,0)</f>
        <v/>
      </c>
      <c r="P28" s="97">
        <f>ROUND($G28*$K28/6,0)</f>
        <v/>
      </c>
      <c r="Q28" s="97">
        <f>ROUND($G28*$K28/6,0)</f>
        <v/>
      </c>
      <c r="R28" s="97">
        <f>ROUND($G28*$K28/6*50%,0)</f>
        <v/>
      </c>
      <c r="S28" s="97">
        <f>ROUND($G28*$K28/6*30%,0)</f>
        <v/>
      </c>
      <c r="T28" s="37" t="inlineStr">
        <is>
          <t>신정초 배치 가능</t>
        </is>
      </c>
      <c r="U28" s="0" t="n">
        <v>35.539084</v>
      </c>
      <c r="V28" s="0" t="n">
        <v>129.305018</v>
      </c>
    </row>
    <row r="29" ht="40" customHeight="1" s="95">
      <c r="A29" s="60" t="n"/>
      <c r="B29" s="60" t="inlineStr">
        <is>
          <t>완료</t>
        </is>
      </c>
      <c r="C29" s="60" t="inlineStr">
        <is>
          <t>착공</t>
        </is>
      </c>
      <c r="D29" s="49" t="inlineStr">
        <is>
          <t>문수로푸르지오어반피스</t>
        </is>
      </c>
      <c r="E29" s="20" t="inlineStr">
        <is>
          <t>남구</t>
        </is>
      </c>
      <c r="F29" s="16" t="inlineStr">
        <is>
          <t>남구 신정동 1266-6 일원</t>
        </is>
      </c>
      <c r="G29" s="26" t="n">
        <v>339</v>
      </c>
      <c r="H29" s="58" t="inlineStr">
        <is>
          <t>2026.6.</t>
        </is>
      </c>
      <c r="I29" s="57" t="n">
        <v>2026</v>
      </c>
      <c r="J29" s="80" t="n"/>
      <c r="K29" s="20" t="n">
        <v>0.21</v>
      </c>
      <c r="L29" s="96">
        <f>ROUNDDOWN(M29*25%,0)</f>
        <v/>
      </c>
      <c r="M29" s="99">
        <f>ROUNDDOWN(G29*K29,0)</f>
        <v/>
      </c>
      <c r="N29" s="97">
        <f>ROUND($G29*$K29/6,0)</f>
        <v/>
      </c>
      <c r="O29" s="97">
        <f>ROUND($G29*$K29/6,0)</f>
        <v/>
      </c>
      <c r="P29" s="97">
        <f>ROUND($G29*$K29/6,0)</f>
        <v/>
      </c>
      <c r="Q29" s="97">
        <f>ROUND($G29*$K29/6,0)</f>
        <v/>
      </c>
      <c r="R29" s="97">
        <f>ROUND($G29*$K29/6*50%,0)</f>
        <v/>
      </c>
      <c r="S29" s="97">
        <f>ROUND($G29*$K29/6*30%,0)</f>
        <v/>
      </c>
      <c r="T29" s="20" t="inlineStr">
        <is>
          <t>신정초 배치 가능</t>
        </is>
      </c>
      <c r="U29" s="0" t="n">
        <v>35.535675</v>
      </c>
      <c r="V29" s="0" t="n">
        <v>129.305933</v>
      </c>
    </row>
    <row r="30" ht="40" customHeight="1" s="95">
      <c r="A30" s="60" t="n"/>
      <c r="B30" s="60" t="inlineStr">
        <is>
          <t>완료</t>
        </is>
      </c>
      <c r="C30" s="60" t="inlineStr">
        <is>
          <t>착공</t>
        </is>
      </c>
      <c r="D30" s="49" t="inlineStr">
        <is>
          <t>문수로 롯데캐슬 그랑파르크</t>
        </is>
      </c>
      <c r="E30" s="20" t="inlineStr">
        <is>
          <t>남구</t>
        </is>
      </c>
      <c r="F30" s="24" t="inlineStr">
        <is>
          <t>남구 신정동 1267-6 일원</t>
        </is>
      </c>
      <c r="G30" s="25" t="n">
        <v>245</v>
      </c>
      <c r="H30" s="59" t="inlineStr">
        <is>
          <t>2026.8.</t>
        </is>
      </c>
      <c r="I30" s="57" t="n">
        <v>2026</v>
      </c>
      <c r="J30" s="80" t="n"/>
      <c r="K30" s="25" t="n">
        <v>0.12</v>
      </c>
      <c r="L30" s="96">
        <f>ROUNDDOWN(M30*25%,0)</f>
        <v/>
      </c>
      <c r="M30" s="99">
        <f>ROUNDDOWN(G30*K30,0)</f>
        <v/>
      </c>
      <c r="N30" s="97">
        <f>ROUND($G30*$K30/6,0)</f>
        <v/>
      </c>
      <c r="O30" s="97">
        <f>ROUND($G30*$K30/6,0)</f>
        <v/>
      </c>
      <c r="P30" s="97">
        <f>ROUND($G30*$K30/6,0)</f>
        <v/>
      </c>
      <c r="Q30" s="97">
        <f>ROUND($G30*$K30/6,0)</f>
        <v/>
      </c>
      <c r="R30" s="97">
        <f>ROUND($G30*$K30/6*50%,0)</f>
        <v/>
      </c>
      <c r="S30" s="97">
        <f>ROUND($G30*$K30/6*30%,0)</f>
        <v/>
      </c>
      <c r="T30" s="25" t="inlineStr">
        <is>
          <t>옥동초 배치 가능</t>
        </is>
      </c>
      <c r="U30" s="0" t="n">
        <v>35.534134</v>
      </c>
      <c r="V30" s="0" t="n">
        <v>129.306472</v>
      </c>
    </row>
    <row r="31" ht="40" customHeight="1" s="95">
      <c r="A31" s="60" t="n"/>
      <c r="B31" s="60" t="n"/>
      <c r="C31" s="60" t="inlineStr">
        <is>
          <t>착공</t>
        </is>
      </c>
      <c r="D31" s="52" t="inlineStr">
        <is>
          <t>신정동 1335-7 일원 주상복합</t>
        </is>
      </c>
      <c r="E31" s="35" t="inlineStr">
        <is>
          <t>남구</t>
        </is>
      </c>
      <c r="F31" s="38" t="inlineStr">
        <is>
          <t>남구 신정동 1335-7 일원</t>
        </is>
      </c>
      <c r="G31" s="37" t="n">
        <v>123</v>
      </c>
      <c r="H31" s="71" t="inlineStr">
        <is>
          <t>2026.12.
→ 2028.10.</t>
        </is>
      </c>
      <c r="I31" s="72" t="n">
        <v>2028</v>
      </c>
      <c r="J31" s="81" t="n"/>
      <c r="K31" s="34" t="n">
        <v>0.14</v>
      </c>
      <c r="L31" s="37">
        <f>ROUNDDOWN(M31*25%,0)</f>
        <v/>
      </c>
      <c r="M31" s="37">
        <f>ROUNDDOWN(G31*K31,0)</f>
        <v/>
      </c>
      <c r="N31" s="97">
        <f>ROUND($G31*$K31/6,0)</f>
        <v/>
      </c>
      <c r="O31" s="97">
        <f>ROUND($G31*$K31/6,0)</f>
        <v/>
      </c>
      <c r="P31" s="97">
        <f>ROUND($G31*$K31/6,0)</f>
        <v/>
      </c>
      <c r="Q31" s="97">
        <f>ROUND($G31*$K31/6,0)</f>
        <v/>
      </c>
      <c r="R31" s="97">
        <f>ROUND($G31*$K31/6*50%,0)</f>
        <v/>
      </c>
      <c r="S31" s="97">
        <f>ROUND($G31*$K31/6*30%,0)</f>
        <v/>
      </c>
      <c r="T31" s="37" t="inlineStr">
        <is>
          <t>신정초 배치 가능</t>
        </is>
      </c>
      <c r="U31" s="0" t="n">
        <v>35.54188</v>
      </c>
      <c r="V31" s="0" t="n">
        <v>129.305786</v>
      </c>
    </row>
    <row r="32" ht="40" customHeight="1" s="95">
      <c r="A32" s="60" t="n"/>
      <c r="B32" s="60" t="inlineStr">
        <is>
          <t>완료</t>
        </is>
      </c>
      <c r="C32" s="60" t="inlineStr">
        <is>
          <t>착공</t>
        </is>
      </c>
      <c r="D32" s="51" t="inlineStr">
        <is>
          <t>빌리브리버런트</t>
        </is>
      </c>
      <c r="E32" s="20" t="inlineStr">
        <is>
          <t>남구</t>
        </is>
      </c>
      <c r="F32" s="16" t="inlineStr">
        <is>
          <t>남구 신정동 22-4번지 일원</t>
        </is>
      </c>
      <c r="G32" s="26" t="n">
        <v>311</v>
      </c>
      <c r="H32" s="58" t="inlineStr">
        <is>
          <t>2025.11.</t>
        </is>
      </c>
      <c r="I32" s="57" t="n">
        <v>2026</v>
      </c>
      <c r="J32" s="80" t="n"/>
      <c r="K32" s="20" t="n">
        <v>0.12</v>
      </c>
      <c r="L32" s="96">
        <f>ROUNDDOWN(M32*25%,0)</f>
        <v/>
      </c>
      <c r="M32" s="99">
        <f>ROUNDDOWN(G32*K32,0)</f>
        <v/>
      </c>
      <c r="N32" s="97">
        <f>ROUND($G32*$K32/6,0)</f>
        <v/>
      </c>
      <c r="O32" s="97">
        <f>ROUND($G32*$K32/6,0)</f>
        <v/>
      </c>
      <c r="P32" s="97">
        <f>ROUND($G32*$K32/6,0)</f>
        <v/>
      </c>
      <c r="Q32" s="97">
        <f>ROUND($G32*$K32/6,0)</f>
        <v/>
      </c>
      <c r="R32" s="97">
        <f>ROUND($G32*$K32/6*50%,0)</f>
        <v/>
      </c>
      <c r="S32" s="97">
        <f>ROUND($G32*$K32/6*30%,0)</f>
        <v/>
      </c>
      <c r="T32" s="20" t="inlineStr">
        <is>
          <t>월봉초 배치 가능</t>
        </is>
      </c>
      <c r="U32" s="0" t="n">
        <v>35.548239</v>
      </c>
      <c r="V32" s="0" t="n">
        <v>129.321943</v>
      </c>
    </row>
    <row r="33" ht="40" customHeight="1" s="95">
      <c r="A33" s="60" t="n"/>
      <c r="B33" s="60" t="n"/>
      <c r="C33" s="60" t="inlineStr">
        <is>
          <t>미착공</t>
        </is>
      </c>
      <c r="D33" s="52" t="inlineStr">
        <is>
          <t>신정동 527-5 일원 주상복합</t>
        </is>
      </c>
      <c r="E33" s="35" t="inlineStr">
        <is>
          <t>남구</t>
        </is>
      </c>
      <c r="F33" s="38" t="inlineStr">
        <is>
          <t>남구 신정동 527-5 일원</t>
        </is>
      </c>
      <c r="G33" s="26" t="n">
        <v>218</v>
      </c>
      <c r="H33" s="56" t="inlineStr">
        <is>
          <t>2027.12.</t>
        </is>
      </c>
      <c r="I33" s="70" t="inlineStr">
        <is>
          <t>2030
(지연예정)</t>
        </is>
      </c>
      <c r="J33" s="85" t="n"/>
      <c r="K33" s="20" t="n">
        <v>0.12</v>
      </c>
      <c r="L33" s="96">
        <f>ROUNDDOWN(M33*25%,0)</f>
        <v/>
      </c>
      <c r="M33" s="99">
        <f>ROUNDDOWN(G33*K33,0)</f>
        <v/>
      </c>
      <c r="N33" s="97">
        <f>ROUND($G33*$K33/6,0)</f>
        <v/>
      </c>
      <c r="O33" s="97">
        <f>ROUND($G33*$K33/6,0)</f>
        <v/>
      </c>
      <c r="P33" s="97">
        <f>ROUND($G33*$K33/6,0)</f>
        <v/>
      </c>
      <c r="Q33" s="97">
        <f>ROUND($G33*$K33/6,0)</f>
        <v/>
      </c>
      <c r="R33" s="97">
        <f>ROUND($G33*$K33/6*50%,0)</f>
        <v/>
      </c>
      <c r="S33" s="97">
        <f>ROUND($G33*$K33/6*30%,0)</f>
        <v/>
      </c>
      <c r="T33" s="37" t="inlineStr">
        <is>
          <t>중앙초 배치 가능</t>
        </is>
      </c>
      <c r="U33" s="0" t="n">
        <v>35.544789</v>
      </c>
      <c r="V33" s="0" t="n">
        <v>129.307596</v>
      </c>
    </row>
    <row r="34" ht="40" customHeight="1" s="95">
      <c r="A34" s="60" t="n"/>
      <c r="B34" s="60" t="n"/>
      <c r="C34" s="60" t="inlineStr">
        <is>
          <t>미착공</t>
        </is>
      </c>
      <c r="D34" s="48" t="inlineStr">
        <is>
          <t>신정동 533-5 일원 주상복합</t>
        </is>
      </c>
      <c r="E34" s="37" t="inlineStr">
        <is>
          <t>남구</t>
        </is>
      </c>
      <c r="F34" s="38" t="inlineStr">
        <is>
          <t>남구 신정동 533-5 일원</t>
        </is>
      </c>
      <c r="G34" s="98" t="n">
        <v>190</v>
      </c>
      <c r="H34" s="56" t="inlineStr">
        <is>
          <t>2023.11.~
2026.11.</t>
        </is>
      </c>
      <c r="I34" s="70" t="inlineStr">
        <is>
          <t>2030
(지연예정)</t>
        </is>
      </c>
      <c r="J34" s="85" t="n"/>
      <c r="K34" s="37" t="n">
        <v>0.12</v>
      </c>
      <c r="L34" s="96">
        <f>ROUNDDOWN(M34*25%,0)</f>
        <v/>
      </c>
      <c r="M34" s="99">
        <f>ROUNDDOWN(G34*K34,0)</f>
        <v/>
      </c>
      <c r="N34" s="97">
        <f>ROUND($G34*$K34/6,0)</f>
        <v/>
      </c>
      <c r="O34" s="97">
        <f>ROUND($G34*$K34/6,0)</f>
        <v/>
      </c>
      <c r="P34" s="97">
        <f>ROUND($G34*$K34/6,0)</f>
        <v/>
      </c>
      <c r="Q34" s="97">
        <f>ROUND($G34*$K34/6,0)</f>
        <v/>
      </c>
      <c r="R34" s="97">
        <f>ROUND($G34*$K34/6*50%,0)</f>
        <v/>
      </c>
      <c r="S34" s="97">
        <f>ROUND($G34*$K34/6*30%,0)</f>
        <v/>
      </c>
      <c r="T34" s="37" t="inlineStr">
        <is>
          <t>중앙초 배치 가능</t>
        </is>
      </c>
      <c r="U34" s="0" t="n">
        <v>35.544296</v>
      </c>
      <c r="V34" s="0" t="n">
        <v>129.307754</v>
      </c>
    </row>
    <row r="35" ht="40" customHeight="1" s="95">
      <c r="A35" s="60" t="n"/>
      <c r="B35" s="60" t="n"/>
      <c r="C35" s="60" t="inlineStr">
        <is>
          <t>미착공</t>
        </is>
      </c>
      <c r="D35" s="52" t="inlineStr">
        <is>
          <t>신정동 576-17 일원 주상복합</t>
        </is>
      </c>
      <c r="E35" s="35" t="inlineStr">
        <is>
          <t>남구</t>
        </is>
      </c>
      <c r="F35" s="38" t="inlineStr">
        <is>
          <t>남구 신정동 576-17 일원</t>
        </is>
      </c>
      <c r="G35" s="26" t="n">
        <v>143</v>
      </c>
      <c r="H35" s="56" t="inlineStr">
        <is>
          <t>2027.7.
→ 2028.12.</t>
        </is>
      </c>
      <c r="I35" s="69" t="inlineStr">
        <is>
          <t>2029
(지연예정)</t>
        </is>
      </c>
      <c r="J35" s="84" t="n"/>
      <c r="K35" s="37" t="n">
        <v>0.21</v>
      </c>
      <c r="L35" s="37">
        <f>ROUNDDOWN(M35*25%,0)</f>
        <v/>
      </c>
      <c r="M35" s="37">
        <f>ROUNDDOWN(G35*K35,0)</f>
        <v/>
      </c>
      <c r="N35" s="97">
        <f>ROUND($G35*$K35/6,0)</f>
        <v/>
      </c>
      <c r="O35" s="97">
        <f>ROUND($G35*$K35/6,0)</f>
        <v/>
      </c>
      <c r="P35" s="97">
        <f>ROUND($G35*$K35/6,0)</f>
        <v/>
      </c>
      <c r="Q35" s="97">
        <f>ROUND($G35*$K35/6,0)</f>
        <v/>
      </c>
      <c r="R35" s="97">
        <f>ROUND($G35*$K35/6*50%,0)</f>
        <v/>
      </c>
      <c r="S35" s="97">
        <f>ROUND($G35*$K35/6*30%,0)</f>
        <v/>
      </c>
      <c r="T35" s="20" t="inlineStr">
        <is>
          <t>신정초 증축 후 배치</t>
        </is>
      </c>
      <c r="U35" s="0" t="n">
        <v>35.541897</v>
      </c>
      <c r="V35" s="0" t="n">
        <v>129.30648</v>
      </c>
    </row>
    <row r="36" ht="40" customHeight="1" s="95">
      <c r="A36" s="60" t="n"/>
      <c r="B36" s="60" t="n"/>
      <c r="C36" s="60" t="inlineStr">
        <is>
          <t>착공</t>
        </is>
      </c>
      <c r="D36" s="49" t="inlineStr">
        <is>
          <t>힐스테이트 문수로 센트럴</t>
        </is>
      </c>
      <c r="E36" s="20" t="inlineStr">
        <is>
          <t>남구</t>
        </is>
      </c>
      <c r="F36" s="27" t="inlineStr">
        <is>
          <t>남구 신정동 638-1 일원</t>
        </is>
      </c>
      <c r="G36" s="20" t="n">
        <v>566</v>
      </c>
      <c r="H36" s="67" t="inlineStr">
        <is>
          <t>2028.4.
→ 2028.6.</t>
        </is>
      </c>
      <c r="I36" s="57" t="n">
        <v>2028</v>
      </c>
      <c r="J36" s="80" t="n"/>
      <c r="K36" s="20" t="n">
        <v>0.21</v>
      </c>
      <c r="L36" s="96">
        <f>ROUNDDOWN(M36*25%,0)</f>
        <v/>
      </c>
      <c r="M36" s="96">
        <f>ROUNDDOWN(G36*K36,0)</f>
        <v/>
      </c>
      <c r="N36" s="97">
        <f>ROUND($G36*$K36/6,0)</f>
        <v/>
      </c>
      <c r="O36" s="97">
        <f>ROUND($G36*$K36/6,0)</f>
        <v/>
      </c>
      <c r="P36" s="97">
        <f>ROUND($G36*$K36/6,0)</f>
        <v/>
      </c>
      <c r="Q36" s="97">
        <f>ROUND($G36*$K36/6,0)</f>
        <v/>
      </c>
      <c r="R36" s="97">
        <f>ROUND($G36*$K36/6*50%,0)</f>
        <v/>
      </c>
      <c r="S36" s="97">
        <f>ROUND($G36*$K36/6*30%,0)</f>
        <v/>
      </c>
      <c r="T36" s="20" t="inlineStr">
        <is>
          <t>신정초 증축 후 배치</t>
        </is>
      </c>
      <c r="U36" s="0" t="n">
        <v>35.541354</v>
      </c>
      <c r="V36" s="0" t="n">
        <v>129.307253</v>
      </c>
    </row>
    <row r="37" ht="40" customHeight="1" s="95">
      <c r="A37" s="60" t="n"/>
      <c r="B37" s="60" t="inlineStr">
        <is>
          <t>완료</t>
        </is>
      </c>
      <c r="C37" s="60" t="inlineStr">
        <is>
          <t>미착공</t>
        </is>
      </c>
      <c r="D37" s="49" t="inlineStr">
        <is>
          <t>신정동 673-1 일원 주상복합
(한국토지신탁)</t>
        </is>
      </c>
      <c r="E37" s="20" t="inlineStr">
        <is>
          <t>남구</t>
        </is>
      </c>
      <c r="F37" s="16" t="inlineStr">
        <is>
          <t>남구 신정동 673-1 일원</t>
        </is>
      </c>
      <c r="G37" s="26" t="n">
        <v>234</v>
      </c>
      <c r="H37" s="58" t="inlineStr">
        <is>
          <t>2026.12.</t>
        </is>
      </c>
      <c r="I37" s="57" t="inlineStr">
        <is>
          <t>2027
(지연예정)</t>
        </is>
      </c>
      <c r="J37" s="80" t="n"/>
      <c r="K37" s="20" t="n">
        <v>0.12</v>
      </c>
      <c r="L37" s="96">
        <f>ROUNDDOWN(M37*25%,0)</f>
        <v/>
      </c>
      <c r="M37" s="99">
        <f>ROUNDDOWN(G37*K37,0)</f>
        <v/>
      </c>
      <c r="N37" s="97">
        <f>ROUND($G37*$K37/6,0)</f>
        <v/>
      </c>
      <c r="O37" s="97">
        <f>ROUND($G37*$K37/6,0)</f>
        <v/>
      </c>
      <c r="P37" s="97">
        <f>ROUND($G37*$K37/6,0)</f>
        <v/>
      </c>
      <c r="Q37" s="97">
        <f>ROUND($G37*$K37/6,0)</f>
        <v/>
      </c>
      <c r="R37" s="97">
        <f>ROUND($G37*$K37/6*50%,0)</f>
        <v/>
      </c>
      <c r="S37" s="97">
        <f>ROUND($G37*$K37/6*30%,0)</f>
        <v/>
      </c>
      <c r="T37" s="20" t="inlineStr">
        <is>
          <t>월평초 배치 가능</t>
        </is>
      </c>
      <c r="U37" s="0" t="n">
        <v>35.533658</v>
      </c>
      <c r="V37" s="0" t="n">
        <v>129.310026</v>
      </c>
    </row>
    <row r="38" ht="40" customHeight="1" s="95">
      <c r="A38" s="60" t="n"/>
      <c r="B38" s="60" t="inlineStr">
        <is>
          <t>완료</t>
        </is>
      </c>
      <c r="C38" s="60" t="inlineStr">
        <is>
          <t>미착공</t>
        </is>
      </c>
      <c r="D38" s="48" t="inlineStr">
        <is>
          <t>신정동 698-1 일원 주상복합</t>
        </is>
      </c>
      <c r="E38" s="37" t="inlineStr">
        <is>
          <t>남구</t>
        </is>
      </c>
      <c r="F38" s="38" t="inlineStr">
        <is>
          <t>남구 신정동 698-1 일원</t>
        </is>
      </c>
      <c r="G38" s="100" t="n">
        <v>228</v>
      </c>
      <c r="H38" s="56" t="inlineStr">
        <is>
          <t>2028.4.
→ 2029.4.</t>
        </is>
      </c>
      <c r="I38" s="69" t="inlineStr">
        <is>
          <t>2029
(지연예정)</t>
        </is>
      </c>
      <c r="J38" s="84" t="n"/>
      <c r="K38" s="37" t="n">
        <v>0.21</v>
      </c>
      <c r="L38" s="96">
        <f>ROUNDDOWN(M38*25%,0)</f>
        <v/>
      </c>
      <c r="M38" s="99">
        <f>ROUNDDOWN(G38*K38,0)</f>
        <v/>
      </c>
      <c r="N38" s="97">
        <f>ROUND($G38*$K38/6,0)</f>
        <v/>
      </c>
      <c r="O38" s="97">
        <f>ROUND($G38*$K38/6,0)</f>
        <v/>
      </c>
      <c r="P38" s="97">
        <f>ROUND($G38*$K38/6,0)</f>
        <v/>
      </c>
      <c r="Q38" s="97">
        <f>ROUND($G38*$K38/6,0)</f>
        <v/>
      </c>
      <c r="R38" s="97">
        <f>ROUND($G38*$K38/6*50%,0)</f>
        <v/>
      </c>
      <c r="S38" s="97">
        <f>ROUND($G38*$K38/6*30%,0)</f>
        <v/>
      </c>
      <c r="T38" s="20" t="inlineStr">
        <is>
          <t>신정초 증축 후 배치</t>
        </is>
      </c>
      <c r="U38" s="0" t="n">
        <v>35.537473</v>
      </c>
      <c r="V38" s="0" t="n">
        <v>129.308892</v>
      </c>
    </row>
    <row r="39" ht="40" customHeight="1" s="95">
      <c r="A39" s="60" t="n"/>
      <c r="B39" s="60" t="n"/>
      <c r="C39" s="60" t="inlineStr">
        <is>
          <t>미착공</t>
        </is>
      </c>
      <c r="D39" s="49" t="inlineStr">
        <is>
          <t>신정동 704-4 일원 주상복합</t>
        </is>
      </c>
      <c r="E39" s="20" t="inlineStr">
        <is>
          <t>남구</t>
        </is>
      </c>
      <c r="F39" s="27" t="inlineStr">
        <is>
          <t>남구 신정동 704-4 일원</t>
        </is>
      </c>
      <c r="G39" s="20" t="n">
        <v>271</v>
      </c>
      <c r="H39" s="67" t="inlineStr">
        <is>
          <t>2027.12.
→ 2028.12.</t>
        </is>
      </c>
      <c r="I39" s="69" t="inlineStr">
        <is>
          <t>2029
(지연예정)</t>
        </is>
      </c>
      <c r="J39" s="84" t="n"/>
      <c r="K39" s="20" t="n">
        <v>0.21</v>
      </c>
      <c r="L39" s="96">
        <f>ROUNDDOWN(M39*25%,0)</f>
        <v/>
      </c>
      <c r="M39" s="96">
        <f>ROUNDDOWN(G39*K39,0)</f>
        <v/>
      </c>
      <c r="N39" s="97">
        <f>ROUND($G39*$K39/6,0)</f>
        <v/>
      </c>
      <c r="O39" s="97">
        <f>ROUND($G39*$K39/6,0)</f>
        <v/>
      </c>
      <c r="P39" s="97">
        <f>ROUND($G39*$K39/6,0)</f>
        <v/>
      </c>
      <c r="Q39" s="97">
        <f>ROUND($G39*$K39/6,0)</f>
        <v/>
      </c>
      <c r="R39" s="97">
        <f>ROUND($G39*$K39/6*50%,0)</f>
        <v/>
      </c>
      <c r="S39" s="97">
        <f>ROUND($G39*$K39/6*30%,0)</f>
        <v/>
      </c>
      <c r="T39" s="20" t="inlineStr">
        <is>
          <t>신정초 증축 후 배치</t>
        </is>
      </c>
      <c r="U39" s="0" t="n">
        <v>35.538143</v>
      </c>
      <c r="V39" s="0" t="n">
        <v>129.308535</v>
      </c>
    </row>
    <row r="40" ht="40" customHeight="1" s="95">
      <c r="A40" s="60" t="n"/>
      <c r="B40" s="60" t="n"/>
      <c r="C40" s="60" t="inlineStr">
        <is>
          <t>착공</t>
        </is>
      </c>
      <c r="D40" s="49" t="inlineStr">
        <is>
          <t>라엘에스</t>
        </is>
      </c>
      <c r="E40" s="20" t="inlineStr">
        <is>
          <t>남구</t>
        </is>
      </c>
      <c r="F40" s="16" t="inlineStr">
        <is>
          <t>남구 신정동 901-3 일원</t>
        </is>
      </c>
      <c r="G40" s="26" t="n">
        <v>1929</v>
      </c>
      <c r="H40" s="58" t="inlineStr">
        <is>
          <t>2028.2.</t>
        </is>
      </c>
      <c r="I40" s="57" t="n">
        <v>2028</v>
      </c>
      <c r="J40" s="80" t="n"/>
      <c r="K40" s="20" t="n">
        <v>0.18</v>
      </c>
      <c r="L40" s="96">
        <f>ROUNDDOWN(M40*25%,0)</f>
        <v/>
      </c>
      <c r="M40" s="99">
        <f>ROUNDDOWN(G40*K40,0)</f>
        <v/>
      </c>
      <c r="N40" s="97">
        <f>ROUND($G40*$K40/6,0)</f>
        <v/>
      </c>
      <c r="O40" s="97">
        <f>ROUND($G40*$K40/6,0)</f>
        <v/>
      </c>
      <c r="P40" s="97">
        <f>ROUND($G40*$K40/6,0)</f>
        <v/>
      </c>
      <c r="Q40" s="97">
        <f>ROUND($G40*$K40/6,0)</f>
        <v/>
      </c>
      <c r="R40" s="97">
        <f>ROUND($G40*$K40/6*50%,0)</f>
        <v/>
      </c>
      <c r="S40" s="97">
        <f>ROUND($G40*$K40/6*30%,0)</f>
        <v/>
      </c>
      <c r="T40" s="20" t="inlineStr">
        <is>
          <t>월평초/수암초</t>
        </is>
      </c>
      <c r="U40" s="0" t="n">
        <v>35.525075</v>
      </c>
      <c r="V40" s="0" t="n">
        <v>129.312934</v>
      </c>
    </row>
    <row r="41" ht="40" customHeight="1" s="95">
      <c r="A41" s="60" t="n"/>
      <c r="B41" s="60" t="n"/>
      <c r="C41" s="60" t="inlineStr">
        <is>
          <t>미착공</t>
        </is>
      </c>
      <c r="D41" s="49" t="inlineStr">
        <is>
          <t>남구B-14</t>
        </is>
      </c>
      <c r="E41" s="20" t="inlineStr">
        <is>
          <t>남구</t>
        </is>
      </c>
      <c r="F41" s="16" t="inlineStr">
        <is>
          <t>남구 야음동 350-5 일원</t>
        </is>
      </c>
      <c r="G41" s="26" t="n">
        <v>1529</v>
      </c>
      <c r="H41" s="58" t="inlineStr">
        <is>
          <t>2028.12.이후</t>
        </is>
      </c>
      <c r="I41" s="70" t="inlineStr">
        <is>
          <t>지연예정</t>
        </is>
      </c>
      <c r="J41" s="70" t="n">
        <v>2028</v>
      </c>
      <c r="K41" s="20" t="n">
        <v>0.17</v>
      </c>
      <c r="L41" s="96">
        <f>ROUNDDOWN(M41*25%,0)</f>
        <v/>
      </c>
      <c r="M41" s="99">
        <f>ROUNDDOWN(G41*K41,0)</f>
        <v/>
      </c>
      <c r="N41" s="97">
        <f>ROUND($G41*$K41/6,0)</f>
        <v/>
      </c>
      <c r="O41" s="97">
        <f>ROUND($G41*$K41/6,0)</f>
        <v/>
      </c>
      <c r="P41" s="97">
        <f>ROUND($G41*$K41/6,0)</f>
        <v/>
      </c>
      <c r="Q41" s="97">
        <f>ROUND($G41*$K41/6,0)</f>
        <v/>
      </c>
      <c r="R41" s="97">
        <f>ROUND($G41*$K41/6*50%,0)</f>
        <v/>
      </c>
      <c r="S41" s="97">
        <f>ROUND($G41*$K41/6*30%,0)</f>
        <v/>
      </c>
      <c r="T41" s="20" t="inlineStr">
        <is>
          <t>선암초 증축(6실)</t>
        </is>
      </c>
      <c r="U41" s="0" t="n">
        <v>35.517985</v>
      </c>
      <c r="V41" s="0" t="n">
        <v>129.339273</v>
      </c>
    </row>
    <row r="42" ht="40" customHeight="1" s="95">
      <c r="A42" s="60" t="n"/>
      <c r="B42" s="60" t="n"/>
      <c r="C42" s="60" t="inlineStr">
        <is>
          <t>착공(24.7.)</t>
        </is>
      </c>
      <c r="D42" s="49" t="inlineStr">
        <is>
          <t>번영로 하늘채 라크뷰</t>
        </is>
      </c>
      <c r="E42" s="20" t="inlineStr">
        <is>
          <t>남구</t>
        </is>
      </c>
      <c r="F42" s="16" t="inlineStr">
        <is>
          <t>남구 야음동 363-1 일원</t>
        </is>
      </c>
      <c r="G42" s="20" t="n">
        <v>805</v>
      </c>
      <c r="H42" s="58" t="n">
        <v>2028.4</v>
      </c>
      <c r="I42" s="57" t="n">
        <v>2028</v>
      </c>
      <c r="J42" s="57" t="n"/>
      <c r="K42" s="20" t="n">
        <v>0.15</v>
      </c>
      <c r="L42" s="96">
        <f>ROUNDDOWN(M42*25%,0)</f>
        <v/>
      </c>
      <c r="M42" s="99">
        <f>ROUNDDOWN(G42*K42,0)</f>
        <v/>
      </c>
      <c r="N42" s="97">
        <f>ROUND($G42*$K42/6,0)</f>
        <v/>
      </c>
      <c r="O42" s="97">
        <f>ROUND($G42*$K42/6,0)</f>
        <v/>
      </c>
      <c r="P42" s="97">
        <f>ROUND($G42*$K42/6,0)</f>
        <v/>
      </c>
      <c r="Q42" s="97">
        <f>ROUND($G42*$K42/6,0)</f>
        <v/>
      </c>
      <c r="R42" s="97">
        <f>ROUND($G42*$K42/6*50%,0)</f>
        <v/>
      </c>
      <c r="S42" s="97">
        <f>ROUND($G42*$K42/6*30%,0)</f>
        <v/>
      </c>
      <c r="T42" s="20" t="inlineStr">
        <is>
          <t>야음초 배치 불가(선암초)</t>
        </is>
      </c>
      <c r="U42" s="0" t="n">
        <v>35.518552</v>
      </c>
      <c r="V42" s="0" t="n">
        <v>129.335716</v>
      </c>
    </row>
    <row r="43" ht="40" customHeight="1" s="95">
      <c r="A43" s="60" t="n"/>
      <c r="B43" s="60" t="n"/>
      <c r="C43" s="60" t="inlineStr">
        <is>
          <t>미착공</t>
        </is>
      </c>
      <c r="D43" s="48" t="inlineStr">
        <is>
          <t>야음동 368-3 일원 공동주택</t>
        </is>
      </c>
      <c r="E43" s="37" t="inlineStr">
        <is>
          <t>남구</t>
        </is>
      </c>
      <c r="F43" s="38" t="inlineStr">
        <is>
          <t>남구 야음동 368-3번지 일원</t>
        </is>
      </c>
      <c r="G43" s="98" t="n">
        <v>244</v>
      </c>
      <c r="H43" s="56" t="inlineStr">
        <is>
          <t>2024.11.~
2028.3.이후</t>
        </is>
      </c>
      <c r="I43" s="70" t="inlineStr">
        <is>
          <t>지연예정</t>
        </is>
      </c>
      <c r="J43" s="70" t="n">
        <v>2028</v>
      </c>
      <c r="K43" s="37" t="n">
        <v>0.15</v>
      </c>
      <c r="L43" s="96">
        <f>ROUNDDOWN(M43*25%,0)</f>
        <v/>
      </c>
      <c r="M43" s="99">
        <f>ROUNDDOWN(G43*K43,0)</f>
        <v/>
      </c>
      <c r="N43" s="97">
        <f>ROUND($G43*$K43/6,0)</f>
        <v/>
      </c>
      <c r="O43" s="97">
        <f>ROUND($G43*$K43/6,0)</f>
        <v/>
      </c>
      <c r="P43" s="97">
        <f>ROUND($G43*$K43/6,0)</f>
        <v/>
      </c>
      <c r="Q43" s="97">
        <f>ROUND($G43*$K43/6,0)</f>
        <v/>
      </c>
      <c r="R43" s="97">
        <f>ROUND($G43*$K43/6*50%,0)</f>
        <v/>
      </c>
      <c r="S43" s="97">
        <f>ROUND($G43*$K43/6*30%,0)</f>
        <v/>
      </c>
      <c r="T43" s="37" t="inlineStr">
        <is>
          <t>여천초 배치 불가(선암초)</t>
        </is>
      </c>
      <c r="U43" s="0" t="n">
        <v>35.520153</v>
      </c>
      <c r="V43" s="0" t="n">
        <v>129.337986</v>
      </c>
    </row>
    <row r="44" ht="40" customHeight="1" s="95">
      <c r="A44" s="60" t="n"/>
      <c r="B44" s="60" t="inlineStr">
        <is>
          <t>완료</t>
        </is>
      </c>
      <c r="C44" s="53" t="inlineStr">
        <is>
          <t>공사중지
분양중지</t>
        </is>
      </c>
      <c r="D44" s="51" t="inlineStr">
        <is>
          <t>울산 호수공원 에일린의 뜰</t>
        </is>
      </c>
      <c r="E44" s="20" t="inlineStr">
        <is>
          <t>남구</t>
        </is>
      </c>
      <c r="F44" s="16" t="inlineStr">
        <is>
          <t>남구 야음동 389-49번지 일원</t>
        </is>
      </c>
      <c r="G44" s="26" t="n">
        <v>520</v>
      </c>
      <c r="H44" s="58" t="inlineStr">
        <is>
          <t>2028 이후</t>
        </is>
      </c>
      <c r="I44" s="57" t="n">
        <v>2028</v>
      </c>
      <c r="J44" s="57" t="n"/>
      <c r="K44" s="20" t="n">
        <v>0.18</v>
      </c>
      <c r="L44" s="96">
        <f>ROUNDDOWN(M44*25%,0)</f>
        <v/>
      </c>
      <c r="M44" s="99">
        <f>ROUNDDOWN(G44*K44,0)</f>
        <v/>
      </c>
      <c r="N44" s="97">
        <f>ROUND($G44*$K44/6,0)</f>
        <v/>
      </c>
      <c r="O44" s="97">
        <f>ROUND($G44*$K44/6,0)</f>
        <v/>
      </c>
      <c r="P44" s="97">
        <f>ROUND($G44*$K44/6,0)</f>
        <v/>
      </c>
      <c r="Q44" s="97">
        <f>ROUND($G44*$K44/6,0)</f>
        <v/>
      </c>
      <c r="R44" s="97">
        <f>ROUND($G44*$K44/6*50%,0)</f>
        <v/>
      </c>
      <c r="S44" s="97">
        <f>ROUND($G44*$K44/6*30%,0)</f>
        <v/>
      </c>
      <c r="T44" s="20" t="inlineStr">
        <is>
          <t>야음초 배치 가능</t>
        </is>
      </c>
      <c r="U44" s="0" t="n">
        <v>35.521449</v>
      </c>
      <c r="V44" s="0" t="n">
        <v>129.333375</v>
      </c>
    </row>
    <row r="45" ht="40" customHeight="1" s="95">
      <c r="A45" s="60" t="n"/>
      <c r="B45" s="60" t="n"/>
      <c r="C45" s="60" t="inlineStr">
        <is>
          <t>미착공</t>
        </is>
      </c>
      <c r="D45" s="48" t="inlineStr">
        <is>
          <t>야음동 459-1 일원 주상복합</t>
        </is>
      </c>
      <c r="E45" s="35" t="inlineStr">
        <is>
          <t>남구</t>
        </is>
      </c>
      <c r="F45" s="38" t="inlineStr">
        <is>
          <t>남구 야음동 459-1 일원</t>
        </is>
      </c>
      <c r="G45" s="26" t="n">
        <v>422</v>
      </c>
      <c r="H45" s="56" t="inlineStr">
        <is>
          <t>2023.10.31.~
2027.7.이후</t>
        </is>
      </c>
      <c r="I45" s="70" t="inlineStr">
        <is>
          <t>지연예정</t>
        </is>
      </c>
      <c r="J45" s="70" t="n">
        <v>2028</v>
      </c>
      <c r="K45" s="37" t="n">
        <v>0.09</v>
      </c>
      <c r="L45" s="96">
        <f>ROUNDDOWN(M45*25%,0)</f>
        <v/>
      </c>
      <c r="M45" s="99">
        <f>ROUNDDOWN(G45*K45,0)</f>
        <v/>
      </c>
      <c r="N45" s="97">
        <f>ROUND($G45*$K45/6,0)</f>
        <v/>
      </c>
      <c r="O45" s="97">
        <f>ROUND($G45*$K45/6,0)</f>
        <v/>
      </c>
      <c r="P45" s="97">
        <f>ROUND($G45*$K45/6,0)</f>
        <v/>
      </c>
      <c r="Q45" s="97">
        <f>ROUND($G45*$K45/6,0)</f>
        <v/>
      </c>
      <c r="R45" s="97">
        <f>ROUND($G45*$K45/6*50%,0)</f>
        <v/>
      </c>
      <c r="S45" s="97">
        <f>ROUND($G45*$K45/6*30%,0)</f>
        <v/>
      </c>
      <c r="T45" s="37" t="inlineStr">
        <is>
          <t>여천초 배치 가능</t>
        </is>
      </c>
      <c r="U45" s="0" t="n">
        <v>35.524599</v>
      </c>
      <c r="V45" s="0" t="n">
        <v>129.332133</v>
      </c>
    </row>
    <row r="46" ht="40" customHeight="1" s="95">
      <c r="A46" s="60" t="n"/>
      <c r="B46" s="60" t="n"/>
      <c r="C46" s="60" t="inlineStr">
        <is>
          <t>미착공</t>
        </is>
      </c>
      <c r="D46" s="48" t="inlineStr">
        <is>
          <t>야음동 811-23 일원 주상복합</t>
        </is>
      </c>
      <c r="E46" s="35" t="inlineStr">
        <is>
          <t>남구</t>
        </is>
      </c>
      <c r="F46" s="38" t="inlineStr">
        <is>
          <t>남구 야음동 811-23 일원</t>
        </is>
      </c>
      <c r="G46" s="26" t="n">
        <v>354</v>
      </c>
      <c r="H46" s="56" t="inlineStr">
        <is>
          <t>2023.5.~
2027.2이후</t>
        </is>
      </c>
      <c r="I46" s="70" t="inlineStr">
        <is>
          <t>지연예정</t>
        </is>
      </c>
      <c r="J46" s="70" t="n">
        <v>2028</v>
      </c>
      <c r="K46" s="37" t="n">
        <v>0.09</v>
      </c>
      <c r="L46" s="96">
        <f>ROUNDDOWN(M46*25%,0)</f>
        <v/>
      </c>
      <c r="M46" s="99">
        <f>ROUNDDOWN(G46*K46,0)</f>
        <v/>
      </c>
      <c r="N46" s="97">
        <f>ROUND($G46*$K46/6,0)</f>
        <v/>
      </c>
      <c r="O46" s="97">
        <f>ROUND($G46*$K46/6,0)</f>
        <v/>
      </c>
      <c r="P46" s="97">
        <f>ROUND($G46*$K46/6,0)</f>
        <v/>
      </c>
      <c r="Q46" s="97">
        <f>ROUND($G46*$K46/6,0)</f>
        <v/>
      </c>
      <c r="R46" s="97">
        <f>ROUND($G46*$K46/6*50%,0)</f>
        <v/>
      </c>
      <c r="S46" s="97">
        <f>ROUND($G46*$K46/6*30%,0)</f>
        <v/>
      </c>
      <c r="T46" s="37" t="inlineStr">
        <is>
          <t>여천초 배치 가능</t>
        </is>
      </c>
      <c r="U46" s="0" t="n">
        <v>35.524815</v>
      </c>
      <c r="V46" s="0" t="n">
        <v>129.333233</v>
      </c>
    </row>
    <row r="47" ht="40" customHeight="1" s="95">
      <c r="A47" s="60" t="n"/>
      <c r="B47" s="60" t="inlineStr">
        <is>
          <t>완료</t>
        </is>
      </c>
      <c r="C47" s="60" t="inlineStr">
        <is>
          <t>착공</t>
        </is>
      </c>
      <c r="D47" s="51" t="inlineStr">
        <is>
          <t>e편한세상번영로리더스포레</t>
        </is>
      </c>
      <c r="E47" s="20" t="inlineStr">
        <is>
          <t>남구</t>
        </is>
      </c>
      <c r="F47" s="16" t="inlineStr">
        <is>
          <t>남구 야음동 828-9 일원</t>
        </is>
      </c>
      <c r="G47" s="26" t="n">
        <v>255</v>
      </c>
      <c r="H47" s="58" t="inlineStr">
        <is>
          <t>2026.11.</t>
        </is>
      </c>
      <c r="I47" s="57" t="n">
        <v>2026</v>
      </c>
      <c r="J47" s="57" t="n"/>
      <c r="K47" s="20" t="n">
        <v>0.15</v>
      </c>
      <c r="L47" s="96">
        <f>ROUNDDOWN(M47*25%,0)</f>
        <v/>
      </c>
      <c r="M47" s="99">
        <f>ROUNDDOWN(G47*K47,0)</f>
        <v/>
      </c>
      <c r="N47" s="97">
        <f>ROUND($G47*$K47/6,0)</f>
        <v/>
      </c>
      <c r="O47" s="97">
        <f>ROUND($G47*$K47/6,0)</f>
        <v/>
      </c>
      <c r="P47" s="97">
        <f>ROUND($G47*$K47/6,0)</f>
        <v/>
      </c>
      <c r="Q47" s="97">
        <f>ROUND($G47*$K47/6,0)</f>
        <v/>
      </c>
      <c r="R47" s="97">
        <f>ROUND($G47*$K47/6*50%,0)</f>
        <v/>
      </c>
      <c r="S47" s="97">
        <f>ROUND($G47*$K47/6*30%,0)</f>
        <v/>
      </c>
      <c r="T47" s="20" t="inlineStr">
        <is>
          <t>야음초 배치 가능</t>
        </is>
      </c>
      <c r="U47" s="0" t="n">
        <v>35.523161</v>
      </c>
      <c r="V47" s="0" t="n">
        <v>129.33084</v>
      </c>
    </row>
    <row r="48" ht="40" customHeight="1" s="95">
      <c r="A48" s="60" t="n"/>
      <c r="B48" s="60" t="inlineStr">
        <is>
          <t>완료</t>
        </is>
      </c>
      <c r="C48" s="60" t="inlineStr">
        <is>
          <t>착공</t>
        </is>
      </c>
      <c r="D48" s="52" t="inlineStr">
        <is>
          <t>야음동 829-20 일원 주상복합</t>
        </is>
      </c>
      <c r="E48" s="35" t="inlineStr">
        <is>
          <t>남구</t>
        </is>
      </c>
      <c r="F48" s="38" t="inlineStr">
        <is>
          <t>남구 야음동 829-20 일원</t>
        </is>
      </c>
      <c r="G48" s="35" t="n">
        <v>229</v>
      </c>
      <c r="H48" s="54" t="inlineStr">
        <is>
          <t>2028.4.</t>
        </is>
      </c>
      <c r="I48" s="55" t="n">
        <v>2028</v>
      </c>
      <c r="J48" s="55" t="n"/>
      <c r="K48" s="37" t="n">
        <v>0.15</v>
      </c>
      <c r="L48" s="37">
        <f>ROUNDDOWN(M48*25%,0)</f>
        <v/>
      </c>
      <c r="M48" s="37" t="n">
        <v>35</v>
      </c>
      <c r="N48" s="97">
        <f>ROUND($G48*$K48/6,0)</f>
        <v/>
      </c>
      <c r="O48" s="97">
        <f>ROUND($G48*$K48/6,0)</f>
        <v/>
      </c>
      <c r="P48" s="97">
        <f>ROUND($G48*$K48/6,0)</f>
        <v/>
      </c>
      <c r="Q48" s="97">
        <f>ROUND($G48*$K48/6,0)</f>
        <v/>
      </c>
      <c r="R48" s="97">
        <f>ROUND($G48*$K48/6*50%,0)</f>
        <v/>
      </c>
      <c r="S48" s="97">
        <f>ROUND($G48*$K48/6*30%,0)</f>
        <v/>
      </c>
      <c r="T48" s="40" t="inlineStr">
        <is>
          <t>야음초 배치 불가(용연초)</t>
        </is>
      </c>
      <c r="U48" s="0" t="n">
        <v>35.523189</v>
      </c>
      <c r="V48" s="0" t="n">
        <v>129.329958</v>
      </c>
    </row>
    <row r="49" ht="40" customHeight="1" s="95">
      <c r="A49" s="60" t="n"/>
      <c r="B49" s="60" t="n"/>
      <c r="C49" s="60" t="inlineStr">
        <is>
          <t>착공</t>
        </is>
      </c>
      <c r="D49" s="52" t="inlineStr">
        <is>
          <t>힐스테이트선암호수공원</t>
        </is>
      </c>
      <c r="E49" s="35" t="inlineStr">
        <is>
          <t>남구</t>
        </is>
      </c>
      <c r="F49" s="38" t="inlineStr">
        <is>
          <t>남구 야음동 830-1 일원</t>
        </is>
      </c>
      <c r="G49" s="35" t="n">
        <v>526</v>
      </c>
      <c r="H49" s="56" t="inlineStr">
        <is>
          <t>2028.4.</t>
        </is>
      </c>
      <c r="I49" s="70" t="n">
        <v>2028</v>
      </c>
      <c r="J49" s="70" t="n"/>
      <c r="K49" s="37" t="n">
        <v>0.15</v>
      </c>
      <c r="L49" s="37">
        <f>ROUNDDOWN(M49*25%,0)</f>
        <v/>
      </c>
      <c r="M49" s="37">
        <f>ROUNDDOWN(G49*K49,0)</f>
        <v/>
      </c>
      <c r="N49" s="97">
        <f>ROUND($G49*$K49/6,0)</f>
        <v/>
      </c>
      <c r="O49" s="97">
        <f>ROUND($G49*$K49/6,0)</f>
        <v/>
      </c>
      <c r="P49" s="97">
        <f>ROUND($G49*$K49/6,0)</f>
        <v/>
      </c>
      <c r="Q49" s="97">
        <f>ROUND($G49*$K49/6,0)</f>
        <v/>
      </c>
      <c r="R49" s="97">
        <f>ROUND($G49*$K49/6*50%,0)</f>
        <v/>
      </c>
      <c r="S49" s="97">
        <f>ROUND($G49*$K49/6*30%,0)</f>
        <v/>
      </c>
      <c r="T49" s="40" t="inlineStr">
        <is>
          <t>야음초 배치 불가(용연초)</t>
        </is>
      </c>
      <c r="U49" s="0" t="n">
        <v>35.524001</v>
      </c>
      <c r="V49" s="0" t="n">
        <v>129.329998</v>
      </c>
    </row>
    <row r="50" ht="40" customHeight="1" s="95">
      <c r="A50" s="60" t="n"/>
      <c r="B50" s="60" t="n"/>
      <c r="C50" s="60" t="inlineStr">
        <is>
          <t>미착공</t>
        </is>
      </c>
      <c r="D50" s="52" t="inlineStr">
        <is>
          <t>야음동 831-4 일원 주상복합</t>
        </is>
      </c>
      <c r="E50" s="35" t="inlineStr">
        <is>
          <t>남구</t>
        </is>
      </c>
      <c r="F50" s="38" t="inlineStr">
        <is>
          <t>남구 야음동 831-4 일원</t>
        </is>
      </c>
      <c r="G50" s="26" t="n">
        <v>369</v>
      </c>
      <c r="H50" s="73" t="inlineStr">
        <is>
          <t>2022.12.~
2026.2.이후</t>
        </is>
      </c>
      <c r="I50" s="70" t="inlineStr">
        <is>
          <t>2028
(지연예정)</t>
        </is>
      </c>
      <c r="J50" s="70" t="n"/>
      <c r="K50" s="20" t="n">
        <v>0.15</v>
      </c>
      <c r="L50" s="96">
        <f>ROUNDDOWN(M50*25%,0)</f>
        <v/>
      </c>
      <c r="M50" s="99">
        <f>ROUNDDOWN(G50*K50,0)</f>
        <v/>
      </c>
      <c r="N50" s="97">
        <f>ROUND($G50*$K50/6,0)</f>
        <v/>
      </c>
      <c r="O50" s="97">
        <f>ROUND($G50*$K50/6,0)</f>
        <v/>
      </c>
      <c r="P50" s="97">
        <f>ROUND($G50*$K50/6,0)</f>
        <v/>
      </c>
      <c r="Q50" s="97">
        <f>ROUND($G50*$K50/6,0)</f>
        <v/>
      </c>
      <c r="R50" s="97">
        <f>ROUND($G50*$K50/6*50%,0)</f>
        <v/>
      </c>
      <c r="S50" s="97">
        <f>ROUND($G50*$K50/6*30%,0)</f>
        <v/>
      </c>
      <c r="T50" s="37" t="inlineStr">
        <is>
          <t>야음초 배치 불가(용연초)</t>
        </is>
      </c>
      <c r="U50" s="0" t="n">
        <v>35.524752</v>
      </c>
      <c r="V50" s="0" t="n">
        <v>129.329952</v>
      </c>
    </row>
    <row r="51" ht="40" customHeight="1" s="95">
      <c r="A51" s="60" t="inlineStr">
        <is>
          <t>옥동중 17m</t>
        </is>
      </c>
      <c r="B51" s="60" t="n"/>
      <c r="C51" s="60" t="inlineStr">
        <is>
          <t>착공</t>
        </is>
      </c>
      <c r="D51" s="87" t="inlineStr">
        <is>
          <t>옥동경남아너스빌ubc</t>
        </is>
      </c>
      <c r="E51" s="35" t="inlineStr">
        <is>
          <t>남구</t>
        </is>
      </c>
      <c r="F51" s="38" t="inlineStr">
        <is>
          <t xml:space="preserve">남구 옥동 651-2 일원 </t>
        </is>
      </c>
      <c r="G51" s="37" t="n">
        <v>320</v>
      </c>
      <c r="H51" s="54" t="inlineStr">
        <is>
          <t>2026.7.</t>
        </is>
      </c>
      <c r="I51" s="55" t="n">
        <v>2026</v>
      </c>
      <c r="J51" s="55" t="n"/>
      <c r="K51" s="37" t="n">
        <v>0.1</v>
      </c>
      <c r="L51" s="37">
        <f>ROUNDDOWN(M51*25%,0)</f>
        <v/>
      </c>
      <c r="M51" s="37">
        <f>ROUNDDOWN(G51*K51,0)</f>
        <v/>
      </c>
      <c r="N51" s="97">
        <f>ROUND($G51*$K51/6,0)</f>
        <v/>
      </c>
      <c r="O51" s="97">
        <f>ROUND($G51*$K51/6,0)</f>
        <v/>
      </c>
      <c r="P51" s="97">
        <f>ROUND($G51*$K51/6,0)</f>
        <v/>
      </c>
      <c r="Q51" s="97">
        <f>ROUND($G51*$K51/6,0)</f>
        <v/>
      </c>
      <c r="R51" s="97">
        <f>ROUND($G51*$K51/6*50%,0)</f>
        <v/>
      </c>
      <c r="S51" s="97">
        <f>ROUND($G51*$K51/6*30%,0)</f>
        <v/>
      </c>
      <c r="T51" s="37" t="inlineStr">
        <is>
          <t>옥서초 배치 가능</t>
        </is>
      </c>
      <c r="U51" s="0" t="n">
        <v>35.5368427</v>
      </c>
      <c r="V51" s="0" t="n">
        <v>129.2821107</v>
      </c>
    </row>
    <row r="52" ht="40" customHeight="1" s="95">
      <c r="A52" s="60" t="n"/>
      <c r="B52" s="61" t="inlineStr">
        <is>
          <t>완료</t>
        </is>
      </c>
      <c r="C52" s="61" t="n"/>
      <c r="D52" s="51" t="inlineStr">
        <is>
          <t>울산다운2지구A10(공공)</t>
        </is>
      </c>
      <c r="E52" s="20" t="inlineStr">
        <is>
          <t>울주군</t>
        </is>
      </c>
      <c r="F52" s="27" t="inlineStr">
        <is>
          <t>다운2지구 A-10BL(울주군)</t>
        </is>
      </c>
      <c r="G52" s="26" t="n">
        <v>580</v>
      </c>
      <c r="H52" s="58" t="inlineStr">
        <is>
          <t>2028.2.</t>
        </is>
      </c>
      <c r="I52" s="57" t="n">
        <v>2028</v>
      </c>
      <c r="J52" s="57" t="n"/>
      <c r="K52" s="101" t="n">
        <v>0.176</v>
      </c>
      <c r="L52" s="96">
        <f>ROUNDDOWN(M52*25%,0)</f>
        <v/>
      </c>
      <c r="M52" s="99">
        <f>ROUNDDOWN(G52*K52,0)</f>
        <v/>
      </c>
      <c r="N52" s="97">
        <f>ROUND($G52*$K52/6,0)</f>
        <v/>
      </c>
      <c r="O52" s="97">
        <f>ROUND($G52*$K52/6,0)</f>
        <v/>
      </c>
      <c r="P52" s="97">
        <f>ROUND($G52*$K52/6,0)</f>
        <v/>
      </c>
      <c r="Q52" s="97">
        <f>ROUND($G52*$K52/6,0)</f>
        <v/>
      </c>
      <c r="R52" s="97">
        <f>ROUND($G52*$K52/6*50%,0)</f>
        <v/>
      </c>
      <c r="S52" s="97">
        <f>ROUND($G52*$K52/6*30%,0)</f>
        <v/>
      </c>
      <c r="T52" s="20" t="inlineStr">
        <is>
          <t>(가칭)서사초 배치</t>
        </is>
      </c>
      <c r="U52" s="0" t="n">
        <v>35.59205</v>
      </c>
      <c r="V52" s="0" t="n">
        <v>129.2741</v>
      </c>
    </row>
    <row r="53" ht="40" customHeight="1" s="95">
      <c r="A53" s="60" t="n"/>
      <c r="B53" s="61" t="n"/>
      <c r="C53" s="61" t="n"/>
      <c r="D53" s="51" t="inlineStr">
        <is>
          <t>울산다운2지구A10(임대)</t>
        </is>
      </c>
      <c r="E53" s="20" t="inlineStr">
        <is>
          <t>울주군</t>
        </is>
      </c>
      <c r="F53" s="27" t="inlineStr">
        <is>
          <t>다운2지구 A-10BL(울주군)</t>
        </is>
      </c>
      <c r="G53" s="26" t="n">
        <v>293</v>
      </c>
      <c r="H53" s="58" t="inlineStr">
        <is>
          <t>2028.2.</t>
        </is>
      </c>
      <c r="I53" s="57" t="n">
        <v>2028</v>
      </c>
      <c r="J53" s="57" t="n"/>
      <c r="K53" s="32" t="n">
        <v>0.1</v>
      </c>
      <c r="L53" s="96">
        <f>ROUNDDOWN(M53*25%,0)</f>
        <v/>
      </c>
      <c r="M53" s="99">
        <f>ROUNDDOWN(G53*K53,0)</f>
        <v/>
      </c>
      <c r="N53" s="97">
        <f>ROUND($G53*$K53/6,0)</f>
        <v/>
      </c>
      <c r="O53" s="97">
        <f>ROUND($G53*$K53/6,0)</f>
        <v/>
      </c>
      <c r="P53" s="97">
        <f>ROUND($G53*$K53/6,0)</f>
        <v/>
      </c>
      <c r="Q53" s="97">
        <f>ROUND($G53*$K53/6,0)</f>
        <v/>
      </c>
      <c r="R53" s="97">
        <f>ROUND($G53*$K53/6*50%,0)</f>
        <v/>
      </c>
      <c r="S53" s="97">
        <f>ROUND($G53*$K53/6*30%,0)</f>
        <v/>
      </c>
      <c r="T53" s="20" t="inlineStr">
        <is>
          <t>(가칭)서사초 배치</t>
        </is>
      </c>
      <c r="U53" s="0" t="n">
        <v>35.59205</v>
      </c>
      <c r="V53" s="0" t="n">
        <v>129.2741</v>
      </c>
    </row>
    <row r="54" ht="40" customHeight="1" s="95">
      <c r="A54" s="60" t="n"/>
      <c r="B54" s="60" t="n"/>
      <c r="C54" s="60" t="n"/>
      <c r="D54" s="51" t="inlineStr">
        <is>
          <t>울산다운2지구A1</t>
        </is>
      </c>
      <c r="E54" s="20" t="inlineStr">
        <is>
          <t>울주군</t>
        </is>
      </c>
      <c r="F54" s="16" t="inlineStr">
        <is>
          <t>다운2지구 A-1BL(울주군)</t>
        </is>
      </c>
      <c r="G54" s="26" t="n">
        <v>148</v>
      </c>
      <c r="H54" s="58" t="inlineStr">
        <is>
          <t>2028.2.</t>
        </is>
      </c>
      <c r="I54" s="57" t="n">
        <v>2028</v>
      </c>
      <c r="J54" s="57" t="n"/>
      <c r="K54" s="32" t="n">
        <v>0.01</v>
      </c>
      <c r="L54" s="96">
        <f>ROUNDDOWN(M54*25%,0)</f>
        <v/>
      </c>
      <c r="M54" s="99">
        <f>ROUNDDOWN(G54*K54,0)</f>
        <v/>
      </c>
      <c r="N54" s="97">
        <f>ROUND($G54*$K54/6,0)</f>
        <v/>
      </c>
      <c r="O54" s="97">
        <f>ROUND($G54*$K54/6,0)</f>
        <v/>
      </c>
      <c r="P54" s="97">
        <f>ROUND($G54*$K54/6,0)</f>
        <v/>
      </c>
      <c r="Q54" s="97">
        <f>ROUND($G54*$K54/6,0)</f>
        <v/>
      </c>
      <c r="R54" s="97">
        <f>ROUND($G54*$K54/6*50%,0)</f>
        <v/>
      </c>
      <c r="S54" s="97">
        <f>ROUND($G54*$K54/6*30%,0)</f>
        <v/>
      </c>
      <c r="T54" s="20" t="inlineStr">
        <is>
          <t>(가칭)서사초 배치</t>
        </is>
      </c>
      <c r="U54" s="0" t="n">
        <v>35.59663</v>
      </c>
      <c r="V54" s="0" t="n">
        <v>129.2732</v>
      </c>
    </row>
    <row r="55" ht="40" customHeight="1" s="95">
      <c r="A55" s="60" t="n"/>
      <c r="B55" s="60" t="n"/>
      <c r="C55" s="61" t="n"/>
      <c r="D55" s="49" t="inlineStr">
        <is>
          <t>울산다운2지구A2</t>
        </is>
      </c>
      <c r="E55" s="20" t="inlineStr">
        <is>
          <t>울주군</t>
        </is>
      </c>
      <c r="F55" s="27" t="inlineStr">
        <is>
          <t>다운2지구 A-2BL(울주군)</t>
        </is>
      </c>
      <c r="G55" s="26" t="n">
        <v>412</v>
      </c>
      <c r="H55" s="58" t="inlineStr">
        <is>
          <t>2028.2.</t>
        </is>
      </c>
      <c r="I55" s="57" t="n">
        <v>2028</v>
      </c>
      <c r="J55" s="57" t="n"/>
      <c r="K55" s="101" t="n">
        <v>0.005</v>
      </c>
      <c r="L55" s="96">
        <f>ROUNDDOWN(M55*25%,0)</f>
        <v/>
      </c>
      <c r="M55" s="99">
        <f>ROUNDDOWN(G55*K55,0)</f>
        <v/>
      </c>
      <c r="N55" s="97">
        <f>ROUND($G55*$K55/6,0)</f>
        <v/>
      </c>
      <c r="O55" s="97">
        <f>ROUND($G55*$K55/6,0)</f>
        <v/>
      </c>
      <c r="P55" s="97">
        <f>ROUND($G55*$K55/6,0)</f>
        <v/>
      </c>
      <c r="Q55" s="97">
        <f>ROUND($G55*$K55/6,0)</f>
        <v/>
      </c>
      <c r="R55" s="97">
        <f>ROUND($G55*$K55/6*50%,0)</f>
        <v/>
      </c>
      <c r="S55" s="97">
        <f>ROUND($G55*$K55/6*30%,0)</f>
        <v/>
      </c>
      <c r="T55" s="20" t="inlineStr">
        <is>
          <t>(가칭)서사초 배치</t>
        </is>
      </c>
      <c r="U55" s="0" t="n">
        <v>35.59583</v>
      </c>
      <c r="V55" s="0" t="n">
        <v>129.27273</v>
      </c>
    </row>
    <row r="56" ht="38" customHeight="1" s="95">
      <c r="A56" s="60" t="n"/>
      <c r="B56" s="64" t="n"/>
      <c r="C56" s="65" t="n"/>
      <c r="D56" s="52" t="inlineStr">
        <is>
          <t>울산다운2지구A3(공공)</t>
        </is>
      </c>
      <c r="E56" s="15" t="inlineStr">
        <is>
          <t>울주군</t>
        </is>
      </c>
      <c r="F56" s="36" t="inlineStr">
        <is>
          <t>다운2지구 A-3 BL(울주군)</t>
        </is>
      </c>
      <c r="G56" s="26" t="n">
        <v>890</v>
      </c>
      <c r="H56" s="56" t="inlineStr">
        <is>
          <t>2027.12.</t>
        </is>
      </c>
      <c r="I56" s="70" t="n">
        <v>2027</v>
      </c>
      <c r="J56" s="70" t="n"/>
      <c r="K56" s="37" t="n">
        <v>0.196</v>
      </c>
      <c r="L56" s="96">
        <f>ROUNDDOWN(M56*25%,0)</f>
        <v/>
      </c>
      <c r="M56" s="96">
        <f>ROUNDDOWN(G56*K56,0)</f>
        <v/>
      </c>
      <c r="N56" s="97">
        <f>ROUND($G56*$K56/6,0)</f>
        <v/>
      </c>
      <c r="O56" s="97">
        <f>ROUND($G56*$K56/6,0)</f>
        <v/>
      </c>
      <c r="P56" s="97">
        <f>ROUND($G56*$K56/6,0)</f>
        <v/>
      </c>
      <c r="Q56" s="97">
        <f>ROUND($G56*$K56/6,0)</f>
        <v/>
      </c>
      <c r="R56" s="97">
        <f>ROUND($G56*$K56/6*50%,0)</f>
        <v/>
      </c>
      <c r="S56" s="97">
        <f>ROUND($G56*$K56/6*30%,0)</f>
        <v/>
      </c>
      <c r="T56" s="20" t="inlineStr">
        <is>
          <t>(가칭)서사초 배치 후
제2다운초 재배치</t>
        </is>
      </c>
      <c r="U56" s="0" t="n">
        <v>35.58655</v>
      </c>
      <c r="V56" s="0" t="n">
        <v>129.2784</v>
      </c>
    </row>
    <row r="57" ht="40" customHeight="1" s="95">
      <c r="A57" s="60" t="n"/>
      <c r="B57" s="60" t="n"/>
      <c r="C57" s="61" t="n"/>
      <c r="D57" s="52" t="inlineStr">
        <is>
          <t>울산다운2지구A3(임대)</t>
        </is>
      </c>
      <c r="E57" s="15" t="inlineStr">
        <is>
          <t>울주군</t>
        </is>
      </c>
      <c r="F57" s="36" t="inlineStr">
        <is>
          <t>다운2지구 A-3 BL(울주군)</t>
        </is>
      </c>
      <c r="G57" s="26" t="n">
        <v>445</v>
      </c>
      <c r="H57" s="56" t="inlineStr">
        <is>
          <t>2027.12.</t>
        </is>
      </c>
      <c r="I57" s="70" t="n">
        <v>2027</v>
      </c>
      <c r="J57" s="70" t="n"/>
      <c r="K57" s="37" t="n">
        <v>0.1</v>
      </c>
      <c r="L57" s="96">
        <f>ROUNDDOWN(M57*25%,0)</f>
        <v/>
      </c>
      <c r="M57" s="96">
        <f>ROUNDDOWN(G57*K57,0)</f>
        <v/>
      </c>
      <c r="N57" s="97">
        <f>ROUND($G57*$K57/6,0)</f>
        <v/>
      </c>
      <c r="O57" s="97">
        <f>ROUND($G57*$K57/6,0)</f>
        <v/>
      </c>
      <c r="P57" s="97">
        <f>ROUND($G57*$K57/6,0)</f>
        <v/>
      </c>
      <c r="Q57" s="97">
        <f>ROUND($G57*$K57/6,0)</f>
        <v/>
      </c>
      <c r="R57" s="97">
        <f>ROUND($G57*$K57/6*50%,0)</f>
        <v/>
      </c>
      <c r="S57" s="97">
        <f>ROUND($G57*$K57/6*30%,0)</f>
        <v/>
      </c>
      <c r="T57" s="20" t="inlineStr">
        <is>
          <t>(가칭)서사초 배치 후
제2다운초 재배치</t>
        </is>
      </c>
      <c r="U57" s="0" t="n">
        <v>35.58655</v>
      </c>
      <c r="V57" s="0" t="n">
        <v>129.2784</v>
      </c>
    </row>
    <row r="58" ht="40" customHeight="1" s="95">
      <c r="A58" s="60" t="n"/>
      <c r="B58" s="60" t="n"/>
      <c r="C58" s="63" t="n"/>
      <c r="D58" s="49" t="inlineStr">
        <is>
          <t>울산다운2지구A4(행복)</t>
        </is>
      </c>
      <c r="E58" s="20" t="inlineStr">
        <is>
          <t>중구</t>
        </is>
      </c>
      <c r="F58" s="27" t="inlineStr">
        <is>
          <t>다운2지구 A-4BL(중구)</t>
        </is>
      </c>
      <c r="G58" s="26" t="n">
        <v>194</v>
      </c>
      <c r="H58" s="58" t="n">
        <v>2027.3</v>
      </c>
      <c r="I58" s="57" t="n">
        <v>2026</v>
      </c>
      <c r="J58" s="57" t="n"/>
      <c r="K58" s="20" t="n">
        <v>0.0275</v>
      </c>
      <c r="L58" s="96" t="n">
        <v>0</v>
      </c>
      <c r="M58" s="99" t="n">
        <v>3</v>
      </c>
      <c r="N58" s="97">
        <f>ROUND($G58*$K58/6,0)</f>
        <v/>
      </c>
      <c r="O58" s="97">
        <f>ROUND($G58*$K58/6,0)</f>
        <v/>
      </c>
      <c r="P58" s="97">
        <f>ROUND($G58*$K58/6,0)</f>
        <v/>
      </c>
      <c r="Q58" s="97">
        <f>ROUND($G58*$K58/6,0)</f>
        <v/>
      </c>
      <c r="R58" s="97">
        <f>ROUND($G58*$K58/6*50%,0)</f>
        <v/>
      </c>
      <c r="S58" s="97">
        <f>ROUND($G58*$K58/6*30%,0)</f>
        <v/>
      </c>
      <c r="T58" s="20" t="inlineStr">
        <is>
          <t>다전초 배치 후
제2다운초 재배치</t>
        </is>
      </c>
      <c r="U58" s="0" t="n">
        <v>35.57998</v>
      </c>
      <c r="V58" s="0" t="n">
        <v>129.2727</v>
      </c>
    </row>
    <row r="59" ht="40" customHeight="1" s="95">
      <c r="A59" s="60" t="n"/>
      <c r="B59" s="60" t="n"/>
      <c r="C59" s="65" t="n"/>
      <c r="D59" s="49" t="inlineStr">
        <is>
          <t>울산다운2지구A4(국민)</t>
        </is>
      </c>
      <c r="E59" s="20" t="inlineStr">
        <is>
          <t>중구</t>
        </is>
      </c>
      <c r="F59" s="27" t="inlineStr">
        <is>
          <t>다운2지구 A-4BL(중구)</t>
        </is>
      </c>
      <c r="G59" s="26" t="n">
        <v>194</v>
      </c>
      <c r="H59" s="58" t="n">
        <v>2027.3</v>
      </c>
      <c r="I59" s="57" t="n">
        <v>2026</v>
      </c>
      <c r="J59" s="57" t="n"/>
      <c r="K59" s="20" t="n">
        <v>0.03</v>
      </c>
      <c r="L59" s="96" t="n">
        <v>1</v>
      </c>
      <c r="M59" s="99" t="n">
        <v>6</v>
      </c>
      <c r="N59" s="97">
        <f>ROUND($G59*$K59/6,0)</f>
        <v/>
      </c>
      <c r="O59" s="97">
        <f>ROUND($G59*$K59/6,0)</f>
        <v/>
      </c>
      <c r="P59" s="97">
        <f>ROUND($G59*$K59/6,0)</f>
        <v/>
      </c>
      <c r="Q59" s="97">
        <f>ROUND($G59*$K59/6,0)</f>
        <v/>
      </c>
      <c r="R59" s="97">
        <f>ROUND($G59*$K59/6*50%,0)</f>
        <v/>
      </c>
      <c r="S59" s="97">
        <f>ROUND($G59*$K59/6*30%,0)</f>
        <v/>
      </c>
      <c r="T59" s="20" t="inlineStr">
        <is>
          <t>다전초 배치 후
제2다운초 재배치</t>
        </is>
      </c>
      <c r="U59" s="0" t="n">
        <v>35.57998</v>
      </c>
      <c r="V59" s="0" t="n">
        <v>129.2727</v>
      </c>
    </row>
    <row r="60" ht="40" customHeight="1" s="95">
      <c r="A60" s="60" t="n"/>
      <c r="B60" s="60" t="inlineStr">
        <is>
          <t>완료</t>
        </is>
      </c>
      <c r="C60" s="62" t="inlineStr">
        <is>
          <t>착공</t>
        </is>
      </c>
      <c r="D60" s="51" t="inlineStr">
        <is>
          <t>울산다운2지구A5</t>
        </is>
      </c>
      <c r="E60" s="20" t="inlineStr">
        <is>
          <t>중구</t>
        </is>
      </c>
      <c r="F60" s="16" t="inlineStr">
        <is>
          <t>다운2지구 A-5BL(중구)</t>
        </is>
      </c>
      <c r="G60" s="26" t="n">
        <v>701</v>
      </c>
      <c r="H60" s="58" t="inlineStr">
        <is>
          <t>2025.9.</t>
        </is>
      </c>
      <c r="I60" s="57" t="n">
        <v>2025</v>
      </c>
      <c r="J60" s="57" t="n"/>
      <c r="K60" s="20" t="n">
        <v>0.043</v>
      </c>
      <c r="L60" s="96" t="n">
        <v>7</v>
      </c>
      <c r="M60" s="99" t="n">
        <v>32</v>
      </c>
      <c r="N60" s="97">
        <f>ROUND($G60*$K60/6,0)</f>
        <v/>
      </c>
      <c r="O60" s="97">
        <f>ROUND($G60*$K60/6,0)</f>
        <v/>
      </c>
      <c r="P60" s="97">
        <f>ROUND($G60*$K60/6,0)</f>
        <v/>
      </c>
      <c r="Q60" s="97">
        <f>ROUND($G60*$K60/6,0)</f>
        <v/>
      </c>
      <c r="R60" s="97">
        <f>ROUND($G60*$K60/6*50%,0)</f>
        <v/>
      </c>
      <c r="S60" s="97">
        <f>ROUND($G60*$K60/6*30%,0)</f>
        <v/>
      </c>
      <c r="T60" s="20" t="inlineStr">
        <is>
          <t>다전초 배치 가능</t>
        </is>
      </c>
      <c r="U60" s="0" t="n">
        <v>35.57074</v>
      </c>
      <c r="V60" s="0" t="n">
        <v>129.2708</v>
      </c>
    </row>
    <row r="61" ht="40" customHeight="1" s="95">
      <c r="A61" s="60" t="n"/>
      <c r="B61" s="60" t="inlineStr">
        <is>
          <t>완료</t>
        </is>
      </c>
      <c r="C61" s="64" t="inlineStr">
        <is>
          <t>착공</t>
        </is>
      </c>
      <c r="D61" s="49" t="inlineStr">
        <is>
          <t>울산다운2지구A6</t>
        </is>
      </c>
      <c r="E61" s="20" t="inlineStr">
        <is>
          <t>중구</t>
        </is>
      </c>
      <c r="F61" s="16" t="inlineStr">
        <is>
          <t>다운2지구 A-6BL(중구)</t>
        </is>
      </c>
      <c r="G61" s="26" t="n">
        <v>800</v>
      </c>
      <c r="H61" s="58" t="inlineStr">
        <is>
          <t>2025.9.</t>
        </is>
      </c>
      <c r="I61" s="57" t="n">
        <v>2025</v>
      </c>
      <c r="J61" s="57" t="n"/>
      <c r="K61" s="101" t="n">
        <v>0.013</v>
      </c>
      <c r="L61" s="96" t="n">
        <v>2</v>
      </c>
      <c r="M61" s="99" t="n">
        <v>12</v>
      </c>
      <c r="N61" s="97">
        <f>ROUND($G61*$K61/6,0)</f>
        <v/>
      </c>
      <c r="O61" s="97">
        <f>ROUND($G61*$K61/6,0)</f>
        <v/>
      </c>
      <c r="P61" s="97">
        <f>ROUND($G61*$K61/6,0)</f>
        <v/>
      </c>
      <c r="Q61" s="97">
        <f>ROUND($G61*$K61/6,0)</f>
        <v/>
      </c>
      <c r="R61" s="97">
        <f>ROUND($G61*$K61/6*50%,0)</f>
        <v/>
      </c>
      <c r="S61" s="97">
        <f>ROUND($G61*$K61/6*30%,0)</f>
        <v/>
      </c>
      <c r="T61" s="20" t="inlineStr">
        <is>
          <t>다전초 배치 가능</t>
        </is>
      </c>
      <c r="U61" s="0" t="n">
        <v>35.56831</v>
      </c>
      <c r="V61" s="0" t="n">
        <v>129.2714</v>
      </c>
    </row>
    <row r="62" ht="40" customHeight="1" s="95">
      <c r="A62" s="60" t="n"/>
      <c r="B62" s="60" t="n"/>
      <c r="C62" s="61" t="inlineStr">
        <is>
          <t>2024.8.예정</t>
        </is>
      </c>
      <c r="D62" s="49" t="inlineStr">
        <is>
          <t>울산다운2지구A7(행복)</t>
        </is>
      </c>
      <c r="E62" s="20" t="inlineStr">
        <is>
          <t>중구</t>
        </is>
      </c>
      <c r="F62" s="27" t="inlineStr">
        <is>
          <t>다운2지구 A-7BL(중구)</t>
        </is>
      </c>
      <c r="G62" s="26" t="n">
        <v>300</v>
      </c>
      <c r="H62" s="102" t="n">
        <v>2027.3</v>
      </c>
      <c r="I62" s="57" t="n">
        <v>2027</v>
      </c>
      <c r="J62" s="57" t="n"/>
      <c r="K62" s="101" t="n">
        <v>0.028</v>
      </c>
      <c r="L62" s="96" t="n">
        <v>0</v>
      </c>
      <c r="M62" s="99" t="n">
        <v>5</v>
      </c>
      <c r="N62" s="97">
        <f>ROUND($G62*$K62/6,0)</f>
        <v/>
      </c>
      <c r="O62" s="97">
        <f>ROUND($G62*$K62/6,0)</f>
        <v/>
      </c>
      <c r="P62" s="97">
        <f>ROUND($G62*$K62/6,0)</f>
        <v/>
      </c>
      <c r="Q62" s="97">
        <f>ROUND($G62*$K62/6,0)</f>
        <v/>
      </c>
      <c r="R62" s="97">
        <f>ROUND($G62*$K62/6*50%,0)</f>
        <v/>
      </c>
      <c r="S62" s="97">
        <f>ROUND($G62*$K62/6*30%,0)</f>
        <v/>
      </c>
      <c r="T62" s="20" t="inlineStr">
        <is>
          <t>다전초 배치 후
제2다운초 재배치</t>
        </is>
      </c>
      <c r="U62" s="0" t="n">
        <v>35.58163</v>
      </c>
      <c r="V62" s="0" t="n">
        <v>129.271</v>
      </c>
    </row>
    <row r="63" ht="40" customHeight="1" s="95">
      <c r="A63" s="60" t="n"/>
      <c r="B63" s="60" t="n"/>
      <c r="C63" s="61" t="n"/>
      <c r="D63" s="49" t="inlineStr">
        <is>
          <t>울산다운2지구A7(영구)</t>
        </is>
      </c>
      <c r="E63" s="20" t="inlineStr">
        <is>
          <t>중구</t>
        </is>
      </c>
      <c r="F63" s="27" t="inlineStr">
        <is>
          <t>다운2지구 A-7BL(중구)</t>
        </is>
      </c>
      <c r="G63" s="26" t="n">
        <v>400</v>
      </c>
      <c r="H63" s="102" t="n">
        <v>2027.3</v>
      </c>
      <c r="I63" s="57" t="n">
        <v>2027</v>
      </c>
      <c r="J63" s="57" t="n"/>
      <c r="K63" s="101" t="n">
        <v>0.005</v>
      </c>
      <c r="L63" s="96" t="n">
        <v>0</v>
      </c>
      <c r="M63" s="99" t="n">
        <v>2</v>
      </c>
      <c r="N63" s="97">
        <f>ROUND($G63*$K63/6,0)</f>
        <v/>
      </c>
      <c r="O63" s="97">
        <f>ROUND($G63*$K63/6,0)</f>
        <v/>
      </c>
      <c r="P63" s="97">
        <f>ROUND($G63*$K63/6,0)</f>
        <v/>
      </c>
      <c r="Q63" s="97">
        <f>ROUND($G63*$K63/6,0)</f>
        <v/>
      </c>
      <c r="R63" s="97">
        <f>ROUND($G63*$K63/6*50%,0)</f>
        <v/>
      </c>
      <c r="S63" s="97">
        <f>ROUND($G63*$K63/6*30%,0)</f>
        <v/>
      </c>
      <c r="T63" s="20" t="inlineStr">
        <is>
          <t>다전초 배치 후
제2다운초 재배치</t>
        </is>
      </c>
      <c r="U63" s="0" t="n">
        <v>35.58163</v>
      </c>
      <c r="V63" s="0" t="n">
        <v>129.271</v>
      </c>
    </row>
    <row r="64" ht="40" customHeight="1" s="95">
      <c r="A64" s="60" t="n"/>
      <c r="B64" s="62" t="inlineStr">
        <is>
          <t>완료</t>
        </is>
      </c>
      <c r="C64" s="62" t="inlineStr">
        <is>
          <t>2024.12.31.</t>
        </is>
      </c>
      <c r="D64" s="51" t="inlineStr">
        <is>
          <t>울산다운2지구유승한내들에듀포레</t>
        </is>
      </c>
      <c r="E64" s="15" t="inlineStr">
        <is>
          <t>울주군</t>
        </is>
      </c>
      <c r="F64" s="16" t="inlineStr">
        <is>
          <t>다운2지구 B-1BL(울주군)</t>
        </is>
      </c>
      <c r="G64" s="26" t="n">
        <v>507</v>
      </c>
      <c r="H64" s="58" t="inlineStr">
        <is>
          <t>2028.4.</t>
        </is>
      </c>
      <c r="I64" s="57" t="n">
        <v>2028</v>
      </c>
      <c r="J64" s="57" t="n"/>
      <c r="K64" s="20" t="n">
        <v>0.2316</v>
      </c>
      <c r="L64" s="96">
        <f>ROUNDDOWN(M66*25%,0)</f>
        <v/>
      </c>
      <c r="M64" s="99">
        <f>ROUNDDOWN(G66*K66,0)</f>
        <v/>
      </c>
      <c r="N64" s="97">
        <f>ROUND($G66*$K66/6,0)</f>
        <v/>
      </c>
      <c r="O64" s="97">
        <f>ROUND($G66*$K66/6,0)</f>
        <v/>
      </c>
      <c r="P64" s="97">
        <f>ROUND($G66*$K66/6,0)</f>
        <v/>
      </c>
      <c r="Q64" s="97">
        <f>ROUND($G66*$K66/6,0)</f>
        <v/>
      </c>
      <c r="R64" s="97">
        <f>ROUND($G66*$K66/6*50%,0)</f>
        <v/>
      </c>
      <c r="S64" s="97">
        <f>ROUND($G66*$K66/6*30%,0)</f>
        <v/>
      </c>
      <c r="T64" s="20" t="inlineStr">
        <is>
          <t>(가칭)서사초 배치</t>
        </is>
      </c>
      <c r="U64" s="0" t="n">
        <v>35.59424</v>
      </c>
      <c r="V64" s="0" t="n">
        <v>129.27104</v>
      </c>
    </row>
    <row r="65" ht="40" customHeight="1" s="95">
      <c r="A65" s="60" t="n"/>
      <c r="B65" s="64" t="inlineStr">
        <is>
          <t>완료</t>
        </is>
      </c>
      <c r="C65" s="64" t="inlineStr">
        <is>
          <t>착공</t>
        </is>
      </c>
      <c r="D65" s="51" t="inlineStr">
        <is>
          <t>울산다운2지구우미린더시그니처</t>
        </is>
      </c>
      <c r="E65" s="15" t="inlineStr">
        <is>
          <t>울주군</t>
        </is>
      </c>
      <c r="F65" s="16" t="inlineStr">
        <is>
          <t>다운2지구 B-2BL(울주군)</t>
        </is>
      </c>
      <c r="G65" s="26" t="n">
        <v>1430</v>
      </c>
      <c r="H65" s="58" t="inlineStr">
        <is>
          <t>2026.11.5.</t>
        </is>
      </c>
      <c r="I65" s="57" t="n">
        <v>2026</v>
      </c>
      <c r="J65" s="57" t="n"/>
      <c r="K65" s="20" t="n">
        <v>0.2316</v>
      </c>
      <c r="L65" s="96">
        <f>ROUNDDOWN(M67*25%,0)</f>
        <v/>
      </c>
      <c r="M65" s="99">
        <f>ROUNDDOWN(G67*K67,0)</f>
        <v/>
      </c>
      <c r="N65" s="97">
        <f>ROUND($G67*$K67/6,0)</f>
        <v/>
      </c>
      <c r="O65" s="97">
        <f>ROUND($G67*$K67/6,0)</f>
        <v/>
      </c>
      <c r="P65" s="97">
        <f>ROUND($G67*$K67/6,0)</f>
        <v/>
      </c>
      <c r="Q65" s="97">
        <f>ROUND($G67*$K67/6,0)</f>
        <v/>
      </c>
      <c r="R65" s="97">
        <f>ROUND($G67*$K67/6*50%,0)</f>
        <v/>
      </c>
      <c r="S65" s="97">
        <f>ROUND($G67*$K67/6*30%,0)</f>
        <v/>
      </c>
      <c r="T65" s="20" t="inlineStr">
        <is>
          <t>(가칭)서사초 배치</t>
        </is>
      </c>
      <c r="U65" s="0" t="n">
        <v>35.58825</v>
      </c>
      <c r="V65" s="0" t="n">
        <v>129.27567</v>
      </c>
    </row>
    <row r="66" ht="40" customHeight="1" s="95">
      <c r="A66" s="60" t="n"/>
      <c r="B66" s="60" t="n"/>
      <c r="C66" s="60" t="inlineStr">
        <is>
          <t>2024.12.31.</t>
        </is>
      </c>
      <c r="D66" s="49" t="inlineStr">
        <is>
          <t>울산다운2지구B3(일반)</t>
        </is>
      </c>
      <c r="E66" s="20" t="inlineStr">
        <is>
          <t>중구</t>
        </is>
      </c>
      <c r="F66" s="16" t="inlineStr">
        <is>
          <t>다운2지구 B-3BL(중구)</t>
        </is>
      </c>
      <c r="G66" s="26" t="n">
        <v>231</v>
      </c>
      <c r="H66" s="58" t="inlineStr">
        <is>
          <t>2028.2.</t>
        </is>
      </c>
      <c r="I66" s="57" t="n">
        <v>2028</v>
      </c>
      <c r="J66" s="57" t="n"/>
      <c r="K66" s="20" t="n">
        <v>0.196</v>
      </c>
      <c r="L66" s="96">
        <f>ROUNDDOWN(M68*25%,0)</f>
        <v/>
      </c>
      <c r="M66" s="99">
        <f>ROUNDDOWN(G68*K68,0)</f>
        <v/>
      </c>
      <c r="N66" s="97">
        <f>ROUND($G68*$K68/6,0)</f>
        <v/>
      </c>
      <c r="O66" s="97">
        <f>ROUND($G68*$K68/6,0)</f>
        <v/>
      </c>
      <c r="P66" s="97">
        <f>ROUND($G68*$K68/6,0)</f>
        <v/>
      </c>
      <c r="Q66" s="97">
        <f>ROUND($G68*$K68/6,0)</f>
        <v/>
      </c>
      <c r="R66" s="97">
        <f>ROUND($G68*$K68/6*50%,0)</f>
        <v/>
      </c>
      <c r="S66" s="97">
        <f>ROUND($G68*$K68/6*30%,0)</f>
        <v/>
      </c>
      <c r="T66" s="20" t="inlineStr">
        <is>
          <t>(가칭)서사초 배치 후
제2다운초 재배치</t>
        </is>
      </c>
      <c r="U66" s="0" t="n">
        <v>35.58596</v>
      </c>
      <c r="V66" s="0" t="n">
        <v>129.26838</v>
      </c>
    </row>
    <row r="67" ht="40" customHeight="1" s="95">
      <c r="A67" s="60" t="n"/>
      <c r="B67" s="60" t="n"/>
      <c r="C67" s="60" t="inlineStr">
        <is>
          <t>2024.12.31.</t>
        </is>
      </c>
      <c r="D67" s="49" t="inlineStr">
        <is>
          <t>울산다운2지구B3(신혼)</t>
        </is>
      </c>
      <c r="E67" s="20" t="inlineStr">
        <is>
          <t>중구</t>
        </is>
      </c>
      <c r="F67" s="16" t="inlineStr">
        <is>
          <t>다운2지구 B-3BL(중구)</t>
        </is>
      </c>
      <c r="G67" s="26" t="n">
        <v>421</v>
      </c>
      <c r="H67" s="58" t="inlineStr">
        <is>
          <t>2028.2.</t>
        </is>
      </c>
      <c r="I67" s="57" t="n">
        <v>2028</v>
      </c>
      <c r="J67" s="57" t="n"/>
      <c r="K67" s="20" t="n">
        <v>0.176</v>
      </c>
      <c r="L67" s="96">
        <f>ROUNDDOWN(M69*25%,0)</f>
        <v/>
      </c>
      <c r="M67" s="99">
        <f>ROUNDDOWN(G69*K69,0)</f>
        <v/>
      </c>
      <c r="N67" s="97">
        <f>ROUND($G69*$K69/6,0)</f>
        <v/>
      </c>
      <c r="O67" s="97">
        <f>ROUND($G69*$K69/6,0)</f>
        <v/>
      </c>
      <c r="P67" s="97">
        <f>ROUND($G69*$K69/6,0)</f>
        <v/>
      </c>
      <c r="Q67" s="97">
        <f>ROUND($G69*$K69/6,0)</f>
        <v/>
      </c>
      <c r="R67" s="97">
        <f>ROUND($G69*$K69/6*50%,0)</f>
        <v/>
      </c>
      <c r="S67" s="97">
        <f>ROUND($G69*$K69/6*30%,0)</f>
        <v/>
      </c>
      <c r="T67" s="20" t="inlineStr">
        <is>
          <t>(가칭)서사초 배치 후
제2다운초 재배치</t>
        </is>
      </c>
      <c r="U67" s="0" t="n">
        <v>35.58596</v>
      </c>
      <c r="V67" s="0" t="n">
        <v>129.26838</v>
      </c>
    </row>
    <row r="68" ht="40" customHeight="1" s="95">
      <c r="A68" s="60" t="n"/>
      <c r="B68" s="60" t="n"/>
      <c r="C68" s="60" t="inlineStr">
        <is>
          <t>2024.10.1.예정</t>
        </is>
      </c>
      <c r="D68" s="51" t="inlineStr">
        <is>
          <t>울산다운2지구우미린어반파크</t>
        </is>
      </c>
      <c r="E68" s="35" t="inlineStr">
        <is>
          <t>중구</t>
        </is>
      </c>
      <c r="F68" s="27" t="inlineStr">
        <is>
          <t>다운2지구 B-4BL(중구)</t>
        </is>
      </c>
      <c r="G68" s="26" t="n">
        <v>731</v>
      </c>
      <c r="H68" s="74" t="inlineStr">
        <is>
          <t>2027.7.</t>
        </is>
      </c>
      <c r="I68" s="57" t="n">
        <v>2027</v>
      </c>
      <c r="J68" s="57" t="n"/>
      <c r="K68" s="103" t="n">
        <v>0.2316</v>
      </c>
      <c r="L68" s="96">
        <f>ROUNDDOWN(M70*25%,0)</f>
        <v/>
      </c>
      <c r="M68" s="99">
        <f>ROUNDDOWN(G70*K70,0)</f>
        <v/>
      </c>
      <c r="N68" s="97">
        <f>ROUND($G70*$K70/6,0)</f>
        <v/>
      </c>
      <c r="O68" s="97">
        <f>ROUND($G70*$K70/6,0)</f>
        <v/>
      </c>
      <c r="P68" s="97">
        <f>ROUND($G70*$K70/6,0)</f>
        <v/>
      </c>
      <c r="Q68" s="97">
        <f>ROUND($G70*$K70/6,0)</f>
        <v/>
      </c>
      <c r="R68" s="97">
        <f>ROUND($G70*$K70/6*50%,0)</f>
        <v/>
      </c>
      <c r="S68" s="97">
        <f>ROUND($G70*$K70/6*30%,0)</f>
        <v/>
      </c>
      <c r="T68" s="20" t="inlineStr">
        <is>
          <t>(가칭)제2다운초 배치</t>
        </is>
      </c>
      <c r="U68" s="0" t="n">
        <v>35.58158</v>
      </c>
      <c r="V68" s="0" t="n">
        <v>129.26743</v>
      </c>
    </row>
    <row r="69" ht="40" customHeight="1" s="95">
      <c r="A69" s="60" t="n"/>
      <c r="B69" s="60" t="n"/>
      <c r="C69" s="62" t="inlineStr">
        <is>
          <t>2025.1.31.예정</t>
        </is>
      </c>
      <c r="D69" s="51" t="inlineStr">
        <is>
          <t>울산다운2지구B5</t>
        </is>
      </c>
      <c r="E69" s="35" t="inlineStr">
        <is>
          <t>울주군</t>
        </is>
      </c>
      <c r="F69" s="27" t="inlineStr">
        <is>
          <t>다운2지구 B-5BL(울주군)</t>
        </is>
      </c>
      <c r="G69" s="26" t="n">
        <v>582</v>
      </c>
      <c r="H69" s="74" t="inlineStr">
        <is>
          <t>2027.11.</t>
        </is>
      </c>
      <c r="I69" s="57" t="n">
        <v>2027</v>
      </c>
      <c r="J69" s="57" t="n"/>
      <c r="K69" s="103" t="n">
        <v>0.2316</v>
      </c>
      <c r="L69" s="96">
        <f>ROUNDDOWN(M71*25%,0)</f>
        <v/>
      </c>
      <c r="M69" s="99">
        <f>ROUNDDOWN(G71*K71,0)</f>
        <v/>
      </c>
      <c r="N69" s="97">
        <f>ROUND($G71*$K71/6,0)</f>
        <v/>
      </c>
      <c r="O69" s="97">
        <f>ROUND($G71*$K71/6,0)</f>
        <v/>
      </c>
      <c r="P69" s="97">
        <f>ROUND($G71*$K71/6,0)</f>
        <v/>
      </c>
      <c r="Q69" s="97">
        <f>ROUND($G71*$K71/6,0)</f>
        <v/>
      </c>
      <c r="R69" s="97">
        <f>ROUND($G71*$K71/6*50%,0)</f>
        <v/>
      </c>
      <c r="S69" s="97">
        <f>ROUND($G71*$K71/6*30%,0)</f>
        <v/>
      </c>
      <c r="T69" s="20" t="inlineStr">
        <is>
          <t>(가칭)서사초 배치</t>
        </is>
      </c>
      <c r="U69" s="0" t="n">
        <v>35.596574</v>
      </c>
      <c r="V69" s="0" t="n">
        <v>129.278033</v>
      </c>
    </row>
    <row r="70" ht="40" customHeight="1" s="95">
      <c r="A70" s="60" t="n"/>
      <c r="B70" s="60" t="n"/>
      <c r="C70" s="65" t="inlineStr">
        <is>
          <t>2025.12.예정</t>
        </is>
      </c>
      <c r="D70" s="51" t="inlineStr">
        <is>
          <t>울산다운2지구B7</t>
        </is>
      </c>
      <c r="E70" s="15" t="inlineStr">
        <is>
          <t>울주군</t>
        </is>
      </c>
      <c r="F70" s="16" t="inlineStr">
        <is>
          <t>다운2지구 B-7BL(울주군)</t>
        </is>
      </c>
      <c r="G70" s="26" t="n">
        <v>223</v>
      </c>
      <c r="H70" s="75" t="inlineStr">
        <is>
          <t>2028.8.</t>
        </is>
      </c>
      <c r="I70" s="57" t="n">
        <v>2028</v>
      </c>
      <c r="J70" s="57" t="n"/>
      <c r="K70" s="101" t="n">
        <v>0.196</v>
      </c>
      <c r="L70" s="96">
        <f>ROUNDDOWN(M72*25%,0)</f>
        <v/>
      </c>
      <c r="M70" s="99">
        <f>ROUNDDOWN(G72*K72,0)</f>
        <v/>
      </c>
      <c r="N70" s="97">
        <f>ROUND($G72*$K72/6,0)</f>
        <v/>
      </c>
      <c r="O70" s="97">
        <f>ROUND($G72*$K72/6,0)</f>
        <v/>
      </c>
      <c r="P70" s="97">
        <f>ROUND($G72*$K72/6,0)</f>
        <v/>
      </c>
      <c r="Q70" s="97">
        <f>ROUND($G72*$K72/6,0)</f>
        <v/>
      </c>
      <c r="R70" s="97">
        <f>ROUND($G72*$K72/6*50%,0)</f>
        <v/>
      </c>
      <c r="S70" s="97">
        <f>ROUND($G72*$K72/6*30%,0)</f>
        <v/>
      </c>
      <c r="T70" s="20" t="inlineStr">
        <is>
          <t>(가칭)서사초 배치</t>
        </is>
      </c>
      <c r="U70" s="0" t="n">
        <v>35.59753</v>
      </c>
      <c r="V70" s="0" t="n">
        <v>129.27488</v>
      </c>
    </row>
    <row r="71" ht="40" customHeight="1" s="95">
      <c r="A71" s="53" t="inlineStr">
        <is>
          <t>다전초 20m
다운중 20m</t>
        </is>
      </c>
      <c r="B71" s="60" t="inlineStr">
        <is>
          <t>완료</t>
        </is>
      </c>
      <c r="C71" s="60" t="inlineStr">
        <is>
          <t>2024.10.1.</t>
        </is>
      </c>
      <c r="D71" s="52" t="inlineStr">
        <is>
          <t>울산다운2지구C1</t>
        </is>
      </c>
      <c r="E71" s="37" t="inlineStr">
        <is>
          <t>중구</t>
        </is>
      </c>
      <c r="F71" s="36" t="inlineStr">
        <is>
          <t>다운2지구 C-1 BL(중구)</t>
        </is>
      </c>
      <c r="G71" s="26" t="n">
        <v>640</v>
      </c>
      <c r="H71" s="73" t="inlineStr">
        <is>
          <t>2027.10.</t>
        </is>
      </c>
      <c r="I71" s="70" t="n">
        <v>2027</v>
      </c>
      <c r="J71" s="70" t="n"/>
      <c r="K71" s="35" t="n">
        <v>0.2316</v>
      </c>
      <c r="L71" s="96">
        <f>ROUNDDOWN(M74*25%,0)</f>
        <v/>
      </c>
      <c r="M71" s="96">
        <f>ROUNDDOWN(G74*K74,0)</f>
        <v/>
      </c>
      <c r="N71" s="97">
        <f>ROUND($G74*$K74/6,0)</f>
        <v/>
      </c>
      <c r="O71" s="97">
        <f>ROUND($G74*$K74/6,0)</f>
        <v/>
      </c>
      <c r="P71" s="97">
        <f>ROUND($G74*$K74/6,0)</f>
        <v/>
      </c>
      <c r="Q71" s="97">
        <f>ROUND($G74*$K74/6,0)</f>
        <v/>
      </c>
      <c r="R71" s="97">
        <f>ROUND($G74*$K74/6*50%,0)</f>
        <v/>
      </c>
      <c r="S71" s="97">
        <f>ROUND($G74*$K74/6*30%,0)</f>
        <v/>
      </c>
      <c r="T71" s="35" t="inlineStr">
        <is>
          <t>다전초 배치 가능</t>
        </is>
      </c>
      <c r="U71" s="0" t="n">
        <v>35.56892</v>
      </c>
      <c r="V71" s="0" t="n">
        <v>129.26814</v>
      </c>
    </row>
    <row r="72" ht="40" customHeight="1" s="95">
      <c r="A72" s="60" t="n"/>
      <c r="B72" s="60" t="n"/>
      <c r="C72" s="60" t="inlineStr">
        <is>
          <t>미착공</t>
        </is>
      </c>
      <c r="D72" s="50" t="inlineStr">
        <is>
          <t>방어동 204-29 오피스텔
(케이블루디앤씨㈜)</t>
        </is>
      </c>
      <c r="E72" s="15" t="inlineStr">
        <is>
          <t>동구</t>
        </is>
      </c>
      <c r="F72" s="24" t="inlineStr">
        <is>
          <t>동구 방어동 204-29번지 일원</t>
        </is>
      </c>
      <c r="G72" s="25" t="n">
        <v>544</v>
      </c>
      <c r="H72" s="59" t="inlineStr">
        <is>
          <t>2023.6.~
2026.12.이후</t>
        </is>
      </c>
      <c r="I72" s="57" t="inlineStr">
        <is>
          <t>지연예정</t>
        </is>
      </c>
      <c r="J72" s="57" t="n">
        <v>2028</v>
      </c>
      <c r="K72" s="25" t="n">
        <v>0.05</v>
      </c>
      <c r="L72" s="96">
        <f>ROUNDDOWN(M75*25%,0)</f>
        <v/>
      </c>
      <c r="M72" s="99">
        <f>ROUNDDOWN(G75*K75,0)</f>
        <v/>
      </c>
      <c r="N72" s="97">
        <f>ROUND($G75*$K75/6,0)</f>
        <v/>
      </c>
      <c r="O72" s="97">
        <f>ROUND($G75*$K75/6,0)</f>
        <v/>
      </c>
      <c r="P72" s="97">
        <f>ROUND($G75*$K75/6,0)</f>
        <v/>
      </c>
      <c r="Q72" s="97">
        <f>ROUND($G75*$K75/6,0)</f>
        <v/>
      </c>
      <c r="R72" s="97">
        <f>ROUND($G75*$K75/6*50%,0)</f>
        <v/>
      </c>
      <c r="S72" s="97">
        <f>ROUND($G75*$K75/6*30%,0)</f>
        <v/>
      </c>
      <c r="T72" s="25" t="inlineStr">
        <is>
          <t>방어진초 배치 가능</t>
        </is>
      </c>
      <c r="U72" s="0" t="n">
        <v>35.481942</v>
      </c>
      <c r="V72" s="0" t="n">
        <v>129.424229</v>
      </c>
    </row>
    <row r="73" ht="40" customHeight="1" s="95">
      <c r="A73" s="60" t="n"/>
      <c r="B73" s="60" t="n"/>
      <c r="C73" s="60" t="inlineStr">
        <is>
          <t>미착공</t>
        </is>
      </c>
      <c r="D73" s="52" t="inlineStr">
        <is>
          <t>서부동 181-7 공동주택</t>
        </is>
      </c>
      <c r="E73" s="35" t="inlineStr">
        <is>
          <t>동구</t>
        </is>
      </c>
      <c r="F73" s="38" t="inlineStr">
        <is>
          <t>동구 서부동 181-7 일원</t>
        </is>
      </c>
      <c r="G73" s="26" t="n">
        <v>89</v>
      </c>
      <c r="H73" s="56" t="inlineStr">
        <is>
          <t>2022.3.30.~
202410.이후</t>
        </is>
      </c>
      <c r="I73" s="57" t="inlineStr">
        <is>
          <t>지연예정</t>
        </is>
      </c>
      <c r="J73" s="57" t="n">
        <v>2028</v>
      </c>
      <c r="K73" s="37" t="n">
        <v>0.2</v>
      </c>
      <c r="L73" s="96">
        <f>ROUNDDOWN(M76*25%,0)</f>
        <v/>
      </c>
      <c r="M73" s="99">
        <f>ROUNDDOWN(G76*K76,0)</f>
        <v/>
      </c>
      <c r="N73" s="97">
        <f>ROUND($G76*$K76/6,0)</f>
        <v/>
      </c>
      <c r="O73" s="97">
        <f>ROUND($G76*$K76/6,0)</f>
        <v/>
      </c>
      <c r="P73" s="97">
        <f>ROUND($G76*$K76/6,0)</f>
        <v/>
      </c>
      <c r="Q73" s="97">
        <f>ROUND($G76*$K76/6,0)</f>
        <v/>
      </c>
      <c r="R73" s="97">
        <f>ROUND($G76*$K76/6*50%,0)</f>
        <v/>
      </c>
      <c r="S73" s="97">
        <f>ROUND($G76*$K76/6*30%,0)</f>
        <v/>
      </c>
      <c r="T73" s="37" t="inlineStr">
        <is>
          <t>서부초 배치 가능</t>
        </is>
      </c>
      <c r="U73" s="0" t="n">
        <v>35.525473</v>
      </c>
      <c r="V73" s="0" t="n">
        <v>129.431316</v>
      </c>
    </row>
    <row r="74" ht="40" customHeight="1" s="95">
      <c r="A74" s="60" t="n"/>
      <c r="B74" s="60" t="n"/>
      <c r="C74" s="60" t="inlineStr">
        <is>
          <t>미착공</t>
        </is>
      </c>
      <c r="D74" s="51" t="inlineStr">
        <is>
          <t>서부동 244-31 공동주택</t>
        </is>
      </c>
      <c r="E74" s="15" t="inlineStr">
        <is>
          <t>동구</t>
        </is>
      </c>
      <c r="F74" s="16" t="inlineStr">
        <is>
          <t>동구 서부동 244-31 일원</t>
        </is>
      </c>
      <c r="G74" s="26" t="n">
        <v>116</v>
      </c>
      <c r="H74" s="58" t="inlineStr">
        <is>
          <t>2024.9.이후</t>
        </is>
      </c>
      <c r="I74" s="57" t="inlineStr">
        <is>
          <t>지연예정</t>
        </is>
      </c>
      <c r="J74" s="57" t="n">
        <v>2028</v>
      </c>
      <c r="K74" s="20" t="n">
        <v>0.2</v>
      </c>
      <c r="L74" s="96">
        <f>ROUNDDOWN(M77*25%,0)</f>
        <v/>
      </c>
      <c r="M74" s="99">
        <f>ROUNDDOWN(G77*K77,0)</f>
        <v/>
      </c>
      <c r="N74" s="97">
        <f>ROUND($G77*$K77/6,0)</f>
        <v/>
      </c>
      <c r="O74" s="97">
        <f>ROUND($G77*$K77/6,0)</f>
        <v/>
      </c>
      <c r="P74" s="97">
        <f>ROUND($G77*$K77/6,0)</f>
        <v/>
      </c>
      <c r="Q74" s="97">
        <f>ROUND($G77*$K77/6,0)</f>
        <v/>
      </c>
      <c r="R74" s="97">
        <f>ROUND($G77*$K77/6*50%,0)</f>
        <v/>
      </c>
      <c r="S74" s="97">
        <f>ROUND($G77*$K77/6*30%,0)</f>
        <v/>
      </c>
      <c r="T74" s="20" t="inlineStr">
        <is>
          <t>서부초 배치 가능</t>
        </is>
      </c>
      <c r="U74" s="0" t="n">
        <v>35.524385</v>
      </c>
      <c r="V74" s="0" t="n">
        <v>129.428872</v>
      </c>
    </row>
    <row r="75" ht="40" customHeight="1" s="95">
      <c r="A75" s="60" t="n"/>
      <c r="B75" s="60" t="inlineStr">
        <is>
          <t>완료</t>
        </is>
      </c>
      <c r="C75" s="60" t="n"/>
      <c r="D75" s="48" t="inlineStr">
        <is>
          <t>일산동 463-1 일원 주상복합</t>
        </is>
      </c>
      <c r="E75" s="37" t="inlineStr">
        <is>
          <t>동구</t>
        </is>
      </c>
      <c r="F75" s="38" t="inlineStr">
        <is>
          <t>동구 일산동 463-1번지 일원</t>
        </is>
      </c>
      <c r="G75" s="98" t="n">
        <v>234</v>
      </c>
      <c r="H75" s="56" t="inlineStr">
        <is>
          <t>2024.11.~
2027.11.</t>
        </is>
      </c>
      <c r="I75" s="70" t="inlineStr">
        <is>
          <t>지연예정</t>
        </is>
      </c>
      <c r="J75" s="70" t="n">
        <v>2028</v>
      </c>
      <c r="K75" s="25" t="n">
        <v>0.05</v>
      </c>
      <c r="L75" s="96">
        <f>ROUNDDOWN(M78*25%,0)</f>
        <v/>
      </c>
      <c r="M75" s="99">
        <f>ROUNDDOWN(G78*K78,0)</f>
        <v/>
      </c>
      <c r="N75" s="97">
        <f>ROUND($G78*$K78/6,0)</f>
        <v/>
      </c>
      <c r="O75" s="97">
        <f>ROUND($G78*$K78/6,0)</f>
        <v/>
      </c>
      <c r="P75" s="97">
        <f>ROUND($G78*$K78/6,0)</f>
        <v/>
      </c>
      <c r="Q75" s="97">
        <f>ROUND($G78*$K78/6,0)</f>
        <v/>
      </c>
      <c r="R75" s="97">
        <f>ROUND($G78*$K78/6*50%,0)</f>
        <v/>
      </c>
      <c r="S75" s="97">
        <f>ROUND($G78*$K78/6*30%,0)</f>
        <v/>
      </c>
      <c r="T75" s="37" t="inlineStr">
        <is>
          <t>일산초 배치 가능</t>
        </is>
      </c>
      <c r="U75" s="0" t="n">
        <v>35.503741</v>
      </c>
      <c r="V75" s="0" t="n">
        <v>129.428371</v>
      </c>
    </row>
    <row r="76" ht="40" customHeight="1" s="95">
      <c r="A76" s="60" t="n"/>
      <c r="B76" s="60" t="n"/>
      <c r="C76" s="60" t="inlineStr">
        <is>
          <t>미착공</t>
        </is>
      </c>
      <c r="D76" s="48" t="inlineStr">
        <is>
          <t>일산동 534-1 일원 주상복합</t>
        </is>
      </c>
      <c r="E76" s="15" t="inlineStr">
        <is>
          <t>동구</t>
        </is>
      </c>
      <c r="F76" s="38" t="inlineStr">
        <is>
          <t>동구 일산동 534-1 일원</t>
        </is>
      </c>
      <c r="G76" s="37" t="n">
        <v>388</v>
      </c>
      <c r="H76" s="56" t="inlineStr">
        <is>
          <t>2024.12.~
2028. 2.이후</t>
        </is>
      </c>
      <c r="I76" s="70" t="n">
        <v>2029</v>
      </c>
      <c r="J76" s="80" t="n"/>
      <c r="K76" s="37" t="n">
        <v>0.05</v>
      </c>
      <c r="L76" s="37">
        <f>ROUNDDOWN(M79*25%,0)</f>
        <v/>
      </c>
      <c r="M76" s="37">
        <f>ROUNDDOWN(G79*K79,0)</f>
        <v/>
      </c>
      <c r="N76" s="97">
        <f>ROUND($G79*$K79/6,0)</f>
        <v/>
      </c>
      <c r="O76" s="97">
        <f>ROUND($G79*$K79/6,0)</f>
        <v/>
      </c>
      <c r="P76" s="97">
        <f>ROUND($G79*$K79/6,0)</f>
        <v/>
      </c>
      <c r="Q76" s="97">
        <f>ROUND($G79*$K79/6,0)</f>
        <v/>
      </c>
      <c r="R76" s="97">
        <f>ROUND($G79*$K79/6*50%,0)</f>
        <v/>
      </c>
      <c r="S76" s="97">
        <f>ROUND($G79*$K79/6*30%,0)</f>
        <v/>
      </c>
      <c r="T76" s="37" t="inlineStr">
        <is>
          <t>일산초 배치 가능</t>
        </is>
      </c>
      <c r="U76" s="0" t="n">
        <v>35.502195</v>
      </c>
      <c r="V76" s="0" t="n">
        <v>129.428494</v>
      </c>
    </row>
    <row r="77" ht="40" customHeight="1" s="95">
      <c r="A77" s="60" t="n"/>
      <c r="B77" s="60" t="n"/>
      <c r="C77" s="60" t="inlineStr">
        <is>
          <t>미착공</t>
        </is>
      </c>
      <c r="D77" s="49" t="inlineStr">
        <is>
          <t>일산동 555-2 주상복합
(팜헤이븐플래닝)</t>
        </is>
      </c>
      <c r="E77" s="20" t="inlineStr">
        <is>
          <t>동구</t>
        </is>
      </c>
      <c r="F77" s="16" t="inlineStr">
        <is>
          <t>동구 일산동 555-2번지 일원</t>
        </is>
      </c>
      <c r="G77" s="26" t="n">
        <v>480</v>
      </c>
      <c r="H77" s="58" t="inlineStr">
        <is>
          <t>2028.1.이후</t>
        </is>
      </c>
      <c r="I77" s="70" t="inlineStr">
        <is>
          <t>지연예정</t>
        </is>
      </c>
      <c r="J77" s="57" t="n">
        <v>2028</v>
      </c>
      <c r="K77" s="20" t="n">
        <v>0.1</v>
      </c>
      <c r="L77" s="96">
        <f>ROUNDDOWN(M80*25%,0)</f>
        <v/>
      </c>
      <c r="M77" s="99">
        <f>ROUNDDOWN(G80*K80,0)</f>
        <v/>
      </c>
      <c r="N77" s="97">
        <f>ROUND($G80*$K80/6,0)</f>
        <v/>
      </c>
      <c r="O77" s="97">
        <f>ROUND($G80*$K80/6,0)</f>
        <v/>
      </c>
      <c r="P77" s="97">
        <f>ROUND($G80*$K80/6,0)</f>
        <v/>
      </c>
      <c r="Q77" s="97">
        <f>ROUND($G80*$K80/6,0)</f>
        <v/>
      </c>
      <c r="R77" s="97">
        <f>ROUND($G80*$K80/6*50%,0)</f>
        <v/>
      </c>
      <c r="S77" s="97">
        <f>ROUND($G80*$K80/6*30%,0)</f>
        <v/>
      </c>
      <c r="T77" s="20" t="inlineStr">
        <is>
          <t>화정초 배치 가능</t>
        </is>
      </c>
      <c r="U77" s="0" t="n">
        <v>35.500409</v>
      </c>
      <c r="V77" s="0" t="n">
        <v>129.42822</v>
      </c>
    </row>
    <row r="78" ht="40" customHeight="1" s="95">
      <c r="A78" s="60" t="n"/>
      <c r="B78" s="60" t="n"/>
      <c r="C78" s="60" t="inlineStr">
        <is>
          <t>미착공</t>
        </is>
      </c>
      <c r="D78" s="48" t="inlineStr">
        <is>
          <t>전하동 300-19 오피스텔</t>
        </is>
      </c>
      <c r="E78" s="15" t="inlineStr">
        <is>
          <t>동구</t>
        </is>
      </c>
      <c r="F78" s="38" t="inlineStr">
        <is>
          <t>동구 전하동 300-19 일원</t>
        </is>
      </c>
      <c r="G78" s="37" t="n">
        <v>209</v>
      </c>
      <c r="H78" s="56" t="inlineStr">
        <is>
          <t>2022.10.~
2025.4.이후</t>
        </is>
      </c>
      <c r="I78" s="70" t="inlineStr">
        <is>
          <t>지연예정</t>
        </is>
      </c>
      <c r="J78" s="57" t="n">
        <v>2028</v>
      </c>
      <c r="K78" s="37" t="n">
        <v>0.1</v>
      </c>
      <c r="L78" s="37">
        <f>ROUNDDOWN(M81*25%,0)</f>
        <v/>
      </c>
      <c r="M78" s="37">
        <f>ROUNDDOWN(G81*K81,0)</f>
        <v/>
      </c>
      <c r="N78" s="97">
        <f>ROUND($G81*$K81/6,0)</f>
        <v/>
      </c>
      <c r="O78" s="97">
        <f>ROUND($G81*$K81/6,0)</f>
        <v/>
      </c>
      <c r="P78" s="97">
        <f>ROUND($G81*$K81/6,0)</f>
        <v/>
      </c>
      <c r="Q78" s="97">
        <f>ROUND($G81*$K81/6,0)</f>
        <v/>
      </c>
      <c r="R78" s="97">
        <f>ROUND($G81*$K81/6*50%,0)</f>
        <v/>
      </c>
      <c r="S78" s="97">
        <f>ROUND($G81*$K81/6*30%,0)</f>
        <v/>
      </c>
      <c r="T78" s="37" t="inlineStr">
        <is>
          <t>전하초 배치 가능</t>
        </is>
      </c>
      <c r="U78" s="0" t="n">
        <v>35.516832</v>
      </c>
      <c r="V78" s="0" t="n">
        <v>129.431734</v>
      </c>
    </row>
    <row r="79" ht="40" customHeight="1" s="95">
      <c r="A79" s="60" t="n"/>
      <c r="B79" s="60" t="n"/>
      <c r="C79" s="60" t="n"/>
      <c r="D79" s="48" t="inlineStr">
        <is>
          <t>전하동 653-6일원 오피스텔</t>
        </is>
      </c>
      <c r="E79" s="37" t="inlineStr">
        <is>
          <t>동구</t>
        </is>
      </c>
      <c r="F79" s="38" t="inlineStr">
        <is>
          <t>동구 전하동 653-6 일원</t>
        </is>
      </c>
      <c r="G79" s="98" t="n">
        <v>144</v>
      </c>
      <c r="H79" s="40" t="inlineStr">
        <is>
          <t>2026.3.</t>
        </is>
      </c>
      <c r="I79" s="41" t="n">
        <v>2026</v>
      </c>
      <c r="J79" s="41" t="n"/>
      <c r="K79" s="25" t="n">
        <v>0.05</v>
      </c>
      <c r="L79" s="96">
        <f>ROUNDDOWN(M82*25%,0)</f>
        <v/>
      </c>
      <c r="M79" s="99">
        <f>ROUNDDOWN(G82*K82,0)</f>
        <v/>
      </c>
      <c r="N79" s="97">
        <f>ROUND($G82*$K82/6,0)</f>
        <v/>
      </c>
      <c r="O79" s="97">
        <f>ROUND($G82*$K82/6,0)</f>
        <v/>
      </c>
      <c r="P79" s="97">
        <f>ROUND($G82*$K82/6,0)</f>
        <v/>
      </c>
      <c r="Q79" s="97">
        <f>ROUND($G82*$K82/6,0)</f>
        <v/>
      </c>
      <c r="R79" s="97">
        <f>ROUND($G82*$K82/6*50%,0)</f>
        <v/>
      </c>
      <c r="S79" s="97">
        <f>ROUND($G82*$K82/6*30%,0)</f>
        <v/>
      </c>
      <c r="T79" s="37" t="inlineStr">
        <is>
          <t>일산초 배치 가능</t>
        </is>
      </c>
      <c r="U79" s="0" t="n">
        <v>35.5093</v>
      </c>
      <c r="V79" s="0" t="n">
        <v>129.42993</v>
      </c>
    </row>
    <row r="80" ht="40" customHeight="1" s="95">
      <c r="A80" s="60" t="n"/>
      <c r="B80" s="60" t="inlineStr">
        <is>
          <t>대상</t>
        </is>
      </c>
      <c r="C80" s="60" t="n"/>
      <c r="D80" s="50" t="inlineStr">
        <is>
          <t>(가칭)화정2지구 도시개발사업
(화정지구 도시개발조합)</t>
        </is>
      </c>
      <c r="E80" s="25" t="inlineStr">
        <is>
          <t>동구</t>
        </is>
      </c>
      <c r="F80" s="24" t="inlineStr">
        <is>
          <t>동구 화정동 192-4번지 일원</t>
        </is>
      </c>
      <c r="G80" s="99" t="n">
        <v>1133</v>
      </c>
      <c r="H80" s="59" t="inlineStr">
        <is>
          <t>2028.12.</t>
        </is>
      </c>
      <c r="I80" s="57" t="n">
        <v>2029</v>
      </c>
      <c r="J80" s="21" t="n"/>
      <c r="K80" s="25" t="n">
        <v>0.11</v>
      </c>
      <c r="L80" s="96">
        <f>ROUNDDOWN(M83*25%,0)</f>
        <v/>
      </c>
      <c r="M80" s="99">
        <f>ROUNDDOWN(G83*K83,0)</f>
        <v/>
      </c>
      <c r="N80" s="97">
        <f>ROUND($G83*$K83/6,0)</f>
        <v/>
      </c>
      <c r="O80" s="97">
        <f>ROUND($G83*$K83/6,0)</f>
        <v/>
      </c>
      <c r="P80" s="97">
        <f>ROUND($G83*$K83/6,0)</f>
        <v/>
      </c>
      <c r="Q80" s="97">
        <f>ROUND($G83*$K83/6,0)</f>
        <v/>
      </c>
      <c r="R80" s="97">
        <f>ROUND($G83*$K83/6*50%,0)</f>
        <v/>
      </c>
      <c r="S80" s="97">
        <f>ROUND($G83*$K83/6*30%,0)</f>
        <v/>
      </c>
      <c r="T80" s="25" t="inlineStr">
        <is>
          <t>화정초 배치 가능</t>
        </is>
      </c>
      <c r="U80" s="0" t="n">
        <v>35.5014</v>
      </c>
      <c r="V80" s="0" t="n">
        <v>129.41249</v>
      </c>
    </row>
    <row r="81" ht="40" customHeight="1" s="95">
      <c r="A81" s="66" t="n"/>
      <c r="B81" s="66" t="n"/>
      <c r="C81" s="66" t="inlineStr">
        <is>
          <t>미착공</t>
        </is>
      </c>
      <c r="D81" s="87" t="inlineStr">
        <is>
          <t>화정동 638-3 일원 주거복합</t>
        </is>
      </c>
      <c r="E81" s="15" t="inlineStr">
        <is>
          <t>동구</t>
        </is>
      </c>
      <c r="F81" s="24" t="inlineStr">
        <is>
          <t>동구 화정동 638-3 일원</t>
        </is>
      </c>
      <c r="G81" s="25" t="n">
        <v>414</v>
      </c>
      <c r="H81" s="59" t="inlineStr">
        <is>
          <t>2024.2.~
2028.4.</t>
        </is>
      </c>
      <c r="I81" s="57" t="n">
        <v>2028</v>
      </c>
      <c r="J81" s="80" t="n"/>
      <c r="K81" s="25" t="n">
        <v>0.12</v>
      </c>
      <c r="L81" s="96">
        <f>ROUNDDOWN(M84*25%,0)</f>
        <v/>
      </c>
      <c r="M81" s="99">
        <f>ROUNDDOWN(G84*K84,0)</f>
        <v/>
      </c>
      <c r="N81" s="97">
        <f>ROUND($G84*$K84/6,0)</f>
        <v/>
      </c>
      <c r="O81" s="97">
        <f>ROUND($G84*$K84/6,0)</f>
        <v/>
      </c>
      <c r="P81" s="97">
        <f>ROUND($G84*$K84/6,0)</f>
        <v/>
      </c>
      <c r="Q81" s="97">
        <f>ROUND($G84*$K84/6,0)</f>
        <v/>
      </c>
      <c r="R81" s="97">
        <f>ROUND($G84*$K84/6*50%,0)</f>
        <v/>
      </c>
      <c r="S81" s="97">
        <f>ROUND($G84*$K84/6*30%,0)</f>
        <v/>
      </c>
      <c r="T81" s="25" t="inlineStr">
        <is>
          <t>화진초 배치 가능</t>
        </is>
      </c>
      <c r="U81" s="0" t="n">
        <v>35.49622</v>
      </c>
      <c r="V81" s="0" t="n">
        <v>129.42792</v>
      </c>
    </row>
    <row r="82" ht="40" customFormat="1" customHeight="1" s="3">
      <c r="A82" s="60" t="n"/>
      <c r="B82" s="60" t="n"/>
      <c r="C82" s="60" t="n"/>
      <c r="D82" s="51" t="inlineStr">
        <is>
          <t>(가칭)화정1지구 도시개발사업</t>
        </is>
      </c>
      <c r="E82" s="15" t="inlineStr">
        <is>
          <t>동구</t>
        </is>
      </c>
      <c r="F82" s="16" t="inlineStr">
        <is>
          <t>동구 화정동 산12번지 일원</t>
        </is>
      </c>
      <c r="G82" s="26" t="n">
        <v>803</v>
      </c>
      <c r="H82" s="58" t="inlineStr">
        <is>
          <t>2028.1.</t>
        </is>
      </c>
      <c r="I82" s="57" t="n">
        <v>2028</v>
      </c>
      <c r="J82" s="80" t="n"/>
      <c r="K82" s="20" t="n">
        <v>0.15</v>
      </c>
      <c r="L82" s="96">
        <f>ROUNDDOWN(M85*25%,0)</f>
        <v/>
      </c>
      <c r="M82" s="99">
        <f>ROUNDDOWN(G85*K85,0)</f>
        <v/>
      </c>
      <c r="N82" s="97">
        <f>ROUND($G85*$K85/6,0)</f>
        <v/>
      </c>
      <c r="O82" s="97">
        <f>ROUND($G85*$K85/6,0)</f>
        <v/>
      </c>
      <c r="P82" s="97">
        <f>ROUND($G85*$K85/6,0)</f>
        <v/>
      </c>
      <c r="Q82" s="97">
        <f>ROUND($G85*$K85/6,0)</f>
        <v/>
      </c>
      <c r="R82" s="97">
        <f>ROUND($G85*$K85/6*50%,0)</f>
        <v/>
      </c>
      <c r="S82" s="97">
        <f>ROUND($G85*$K85/6*30%,0)</f>
        <v/>
      </c>
      <c r="T82" s="20" t="inlineStr">
        <is>
          <t>미포초 배치 가능</t>
        </is>
      </c>
      <c r="U82" s="0" t="n">
        <v>35.508509</v>
      </c>
      <c r="V82" s="0" t="n">
        <v>129.418763</v>
      </c>
    </row>
    <row r="83" ht="40" customHeight="1" s="95">
      <c r="A83" s="60" t="n"/>
      <c r="B83" s="60" t="n"/>
      <c r="C83" s="60" t="inlineStr">
        <is>
          <t>미착공</t>
        </is>
      </c>
      <c r="D83" s="49" t="inlineStr">
        <is>
          <t>울산모바일테크밸리호반써밋</t>
        </is>
      </c>
      <c r="E83" s="20" t="inlineStr">
        <is>
          <t>북구</t>
        </is>
      </c>
      <c r="F83" s="16" t="inlineStr">
        <is>
          <t>북구 달천동 183-1번지 일원</t>
        </is>
      </c>
      <c r="G83" s="26" t="n">
        <v>681</v>
      </c>
      <c r="H83" s="58" t="inlineStr">
        <is>
          <t>2027.1.</t>
        </is>
      </c>
      <c r="I83" s="57" t="n">
        <v>2027</v>
      </c>
      <c r="J83" s="80" t="n"/>
      <c r="K83" s="20" t="n">
        <v>0.19</v>
      </c>
      <c r="L83" s="96">
        <f>ROUNDDOWN(M86*25%,0)</f>
        <v/>
      </c>
      <c r="M83" s="99">
        <f>ROUNDDOWN(G86*K86,0)</f>
        <v/>
      </c>
      <c r="N83" s="97">
        <f>ROUND($G86*$K86/6,0)</f>
        <v/>
      </c>
      <c r="O83" s="97">
        <f>ROUND($G86*$K86/6,0)</f>
        <v/>
      </c>
      <c r="P83" s="97">
        <f>ROUND($G86*$K86/6,0)</f>
        <v/>
      </c>
      <c r="Q83" s="97">
        <f>ROUND($G86*$K86/6,0)</f>
        <v/>
      </c>
      <c r="R83" s="97">
        <f>ROUND($G86*$K86/6*50%,0)</f>
        <v/>
      </c>
      <c r="S83" s="97">
        <f>ROUND($G86*$K86/6*30%,0)</f>
        <v/>
      </c>
      <c r="T83" s="20" t="inlineStr">
        <is>
          <t>농서초 배치 가능</t>
        </is>
      </c>
      <c r="U83" s="0" t="n">
        <v>35.63328</v>
      </c>
      <c r="V83" s="0" t="n">
        <v>129.31822</v>
      </c>
    </row>
    <row r="84" ht="40" customHeight="1" s="95">
      <c r="A84" s="60" t="n"/>
      <c r="B84" s="60" t="n"/>
      <c r="C84" s="60" t="inlineStr">
        <is>
          <t>미착공</t>
        </is>
      </c>
      <c r="D84" s="48" t="inlineStr">
        <is>
          <t>상안동 행복주택 신축(공공임대)</t>
        </is>
      </c>
      <c r="E84" s="37" t="inlineStr">
        <is>
          <t>북구</t>
        </is>
      </c>
      <c r="F84" s="38" t="inlineStr">
        <is>
          <t>북구 상안동 343 일원</t>
        </is>
      </c>
      <c r="G84" s="26" t="n">
        <v>102</v>
      </c>
      <c r="H84" s="56" t="inlineStr">
        <is>
          <t>2026.12.</t>
        </is>
      </c>
      <c r="I84" s="70" t="inlineStr">
        <is>
          <t>지연예정</t>
        </is>
      </c>
      <c r="J84" s="70" t="n">
        <v>2028</v>
      </c>
      <c r="K84" s="37" t="n">
        <v>0</v>
      </c>
      <c r="L84" s="96">
        <f>ROUNDDOWN(M87*25%,0)</f>
        <v/>
      </c>
      <c r="M84" s="99">
        <f>ROUNDDOWN(G87*K87,0)</f>
        <v/>
      </c>
      <c r="N84" s="97">
        <f>ROUND($G87*$K87/6,0)</f>
        <v/>
      </c>
      <c r="O84" s="97">
        <f>ROUND($G87*$K87/6,0)</f>
        <v/>
      </c>
      <c r="P84" s="97">
        <f>ROUND($G87*$K87/6,0)</f>
        <v/>
      </c>
      <c r="Q84" s="97">
        <f>ROUND($G87*$K87/6,0)</f>
        <v/>
      </c>
      <c r="R84" s="97">
        <f>ROUND($G87*$K87/6*50%,0)</f>
        <v/>
      </c>
      <c r="S84" s="97">
        <f>ROUND($G87*$K87/6*30%,0)</f>
        <v/>
      </c>
      <c r="T84" s="37" t="inlineStr">
        <is>
          <t>동천초 배치 가능</t>
        </is>
      </c>
      <c r="U84" s="0" t="n">
        <v>35.628131</v>
      </c>
      <c r="V84" s="0" t="n">
        <v>129.34335</v>
      </c>
    </row>
    <row r="85" ht="40" customFormat="1" customHeight="1" s="3">
      <c r="A85" s="60" t="n"/>
      <c r="B85" s="60" t="inlineStr">
        <is>
          <t>완료</t>
        </is>
      </c>
      <c r="C85" s="60" t="inlineStr">
        <is>
          <t>미착공</t>
        </is>
      </c>
      <c r="D85" s="51" t="inlineStr">
        <is>
          <t>신천동 214 일원 주상복합</t>
        </is>
      </c>
      <c r="E85" s="15" t="inlineStr">
        <is>
          <t>북구</t>
        </is>
      </c>
      <c r="F85" s="16" t="inlineStr">
        <is>
          <t>북구 신천동 214번지 일원</t>
        </is>
      </c>
      <c r="G85" s="26" t="n">
        <v>572</v>
      </c>
      <c r="H85" s="58" t="inlineStr">
        <is>
          <t>2022.12.1.
~2030. 이후</t>
        </is>
      </c>
      <c r="I85" s="57" t="n">
        <v>2030</v>
      </c>
      <c r="J85" s="57" t="n"/>
      <c r="K85" s="20" t="n">
        <v>0.19</v>
      </c>
      <c r="L85" s="96">
        <f>ROUNDDOWN(M88*25%,0)</f>
        <v/>
      </c>
      <c r="M85" s="99">
        <f>ROUNDDOWN(G88*K88,0)</f>
        <v/>
      </c>
      <c r="N85" s="97">
        <f>ROUND($G88*$K88/6,0)</f>
        <v/>
      </c>
      <c r="O85" s="97">
        <f>ROUND($G88*$K88/6,0)</f>
        <v/>
      </c>
      <c r="P85" s="97">
        <f>ROUND($G88*$K88/6,0)</f>
        <v/>
      </c>
      <c r="Q85" s="97">
        <f>ROUND($G88*$K88/6,0)</f>
        <v/>
      </c>
      <c r="R85" s="97">
        <f>ROUND($G88*$K88/6*50%,0)</f>
        <v/>
      </c>
      <c r="S85" s="97">
        <f>ROUND($G88*$K88/6*30%,0)</f>
        <v/>
      </c>
      <c r="T85" s="20" t="inlineStr">
        <is>
          <t>신천초 배치 가능</t>
        </is>
      </c>
      <c r="U85" s="0" t="n">
        <v>35.638238</v>
      </c>
      <c r="V85" s="0" t="n">
        <v>129.350882</v>
      </c>
    </row>
    <row r="86" ht="40" customFormat="1" customHeight="1" s="3">
      <c r="A86" s="60" t="n"/>
      <c r="B86" s="60" t="n"/>
      <c r="C86" s="60" t="inlineStr">
        <is>
          <t>미착공</t>
        </is>
      </c>
      <c r="D86" s="49" t="inlineStr">
        <is>
          <t>울산두산위브더센트럴</t>
        </is>
      </c>
      <c r="E86" s="20" t="inlineStr">
        <is>
          <t>북구</t>
        </is>
      </c>
      <c r="F86" s="16" t="inlineStr">
        <is>
          <t>북구 신천동 5-3번지 일원</t>
        </is>
      </c>
      <c r="G86" s="26" t="n">
        <v>525</v>
      </c>
      <c r="H86" s="58" t="inlineStr">
        <is>
          <t>2028.초</t>
        </is>
      </c>
      <c r="I86" s="57" t="n">
        <v>2028</v>
      </c>
      <c r="J86" s="57" t="n"/>
      <c r="K86" s="20" t="n">
        <v>0.15</v>
      </c>
      <c r="L86" s="96">
        <f>ROUNDDOWN(M89*25%,0)</f>
        <v/>
      </c>
      <c r="M86" s="99">
        <f>ROUNDDOWN(G89*K89,0)</f>
        <v/>
      </c>
      <c r="N86" s="97">
        <f>ROUND($G89*$K89/6,0)</f>
        <v/>
      </c>
      <c r="O86" s="97">
        <f>ROUND($G89*$K89/6,0)</f>
        <v/>
      </c>
      <c r="P86" s="97">
        <f>ROUND($G89*$K89/6,0)</f>
        <v/>
      </c>
      <c r="Q86" s="97">
        <f>ROUND($G89*$K89/6,0)</f>
        <v/>
      </c>
      <c r="R86" s="97">
        <f>ROUND($G89*$K89/6*50%,0)</f>
        <v/>
      </c>
      <c r="S86" s="97">
        <f>ROUND($G89*$K89/6*30%,0)</f>
        <v/>
      </c>
      <c r="T86" s="20" t="inlineStr">
        <is>
          <t>호계초 배치 가능</t>
        </is>
      </c>
      <c r="U86" s="0" t="n">
        <v>35.633372</v>
      </c>
      <c r="V86" s="0" t="n">
        <v>129.355227</v>
      </c>
    </row>
    <row r="87" ht="40" customFormat="1" customHeight="1" s="3">
      <c r="A87" s="60" t="inlineStr">
        <is>
          <t>매곡중 5m</t>
        </is>
      </c>
      <c r="B87" s="60" t="n"/>
      <c r="C87" s="60" t="inlineStr">
        <is>
          <t>미착공</t>
        </is>
      </c>
      <c r="D87" s="49" t="inlineStr">
        <is>
          <t>신천동유탑유블레스</t>
        </is>
      </c>
      <c r="E87" s="15" t="inlineStr">
        <is>
          <t>북구</t>
        </is>
      </c>
      <c r="F87" s="24" t="inlineStr">
        <is>
          <t>북구 신천동 594-1 일원</t>
        </is>
      </c>
      <c r="G87" s="25" t="n">
        <v>230</v>
      </c>
      <c r="H87" s="67" t="inlineStr">
        <is>
          <t>2023.3.~
2026.7.이후</t>
        </is>
      </c>
      <c r="I87" s="57" t="inlineStr">
        <is>
          <t>지연예정</t>
        </is>
      </c>
      <c r="J87" s="57" t="n">
        <v>2029</v>
      </c>
      <c r="K87" s="25" t="n">
        <v>0.21</v>
      </c>
      <c r="L87" s="96">
        <f>ROUNDDOWN(M90*25%,0)</f>
        <v/>
      </c>
      <c r="M87" s="99">
        <f>ROUNDDOWN(G90*K90,0)</f>
        <v/>
      </c>
      <c r="N87" s="97">
        <f>ROUND($G90*$K90/6,0)</f>
        <v/>
      </c>
      <c r="O87" s="97">
        <f>ROUND($G90*$K90/6,0)</f>
        <v/>
      </c>
      <c r="P87" s="97">
        <f>ROUND($G90*$K90/6,0)</f>
        <v/>
      </c>
      <c r="Q87" s="97">
        <f>ROUND($G90*$K90/6,0)</f>
        <v/>
      </c>
      <c r="R87" s="97">
        <f>ROUND($G90*$K90/6*50%,0)</f>
        <v/>
      </c>
      <c r="S87" s="97">
        <f>ROUND($G90*$K90/6*30%,0)</f>
        <v/>
      </c>
      <c r="T87" s="25" t="inlineStr">
        <is>
          <t>매곡초 배치가능
(동대초로 통학구역 조정)</t>
        </is>
      </c>
      <c r="U87" s="0" t="n">
        <v>35.644864</v>
      </c>
      <c r="V87" s="0" t="n">
        <v>129.347996</v>
      </c>
    </row>
    <row r="88" ht="40" customFormat="1" customHeight="1" s="3">
      <c r="A88" s="60" t="n"/>
      <c r="B88" s="60" t="n"/>
      <c r="C88" s="60" t="inlineStr">
        <is>
          <t>미착공</t>
        </is>
      </c>
      <c r="D88" s="49" t="inlineStr">
        <is>
          <t>율동지구A2</t>
        </is>
      </c>
      <c r="E88" s="15" t="inlineStr">
        <is>
          <t>북구</t>
        </is>
      </c>
      <c r="F88" s="16" t="inlineStr">
        <is>
          <t>북구 율동공공주택지구</t>
        </is>
      </c>
      <c r="G88" s="26" t="n">
        <v>320</v>
      </c>
      <c r="H88" s="58" t="inlineStr">
        <is>
          <t>2026.12.~2029.9</t>
        </is>
      </c>
      <c r="I88" s="57" t="n">
        <v>2029</v>
      </c>
      <c r="J88" s="57" t="n"/>
      <c r="K88" s="20" t="n">
        <v>0.15</v>
      </c>
      <c r="L88" s="96">
        <f>ROUNDDOWN(M91*25%,0)</f>
        <v/>
      </c>
      <c r="M88" s="99">
        <f>ROUNDDOWN(G91*K91,0)</f>
        <v/>
      </c>
      <c r="N88" s="97">
        <f>ROUND($G91*$K91/6,0)</f>
        <v/>
      </c>
      <c r="O88" s="97">
        <f>ROUND($G91*$K91/6,0)</f>
        <v/>
      </c>
      <c r="P88" s="97">
        <f>ROUND($G91*$K91/6,0)</f>
        <v/>
      </c>
      <c r="Q88" s="97">
        <f>ROUND($G91*$K91/6,0)</f>
        <v/>
      </c>
      <c r="R88" s="97">
        <f>ROUND($G91*$K91/6*50%,0)</f>
        <v/>
      </c>
      <c r="S88" s="97">
        <f>ROUND($G91*$K91/6*30%,0)</f>
        <v/>
      </c>
      <c r="T88" s="20" t="inlineStr">
        <is>
          <t>(가칭)효문초 배치
('25.3월 개교 목표)</t>
        </is>
      </c>
      <c r="U88" s="0" t="n">
        <v>35.561575</v>
      </c>
      <c r="V88" s="0" t="n">
        <v>129.379259</v>
      </c>
    </row>
    <row r="89" ht="40" customFormat="1" customHeight="1" s="3">
      <c r="A89" s="60" t="n"/>
      <c r="B89" s="60" t="n"/>
      <c r="C89" s="60" t="inlineStr">
        <is>
          <t>미착공</t>
        </is>
      </c>
      <c r="D89" s="51" t="inlineStr">
        <is>
          <t>율동지구C1</t>
        </is>
      </c>
      <c r="E89" s="15" t="inlineStr">
        <is>
          <t>북구</t>
        </is>
      </c>
      <c r="F89" s="16" t="inlineStr">
        <is>
          <t>북구 율동공공주택지구</t>
        </is>
      </c>
      <c r="G89" s="26" t="n">
        <v>280</v>
      </c>
      <c r="H89" s="58" t="inlineStr">
        <is>
          <t>미정</t>
        </is>
      </c>
      <c r="I89" s="57" t="inlineStr">
        <is>
          <t>미정</t>
        </is>
      </c>
      <c r="J89" s="57" t="n">
        <v>2028</v>
      </c>
      <c r="K89" s="20" t="n">
        <v>0.15</v>
      </c>
      <c r="L89" s="96">
        <f>ROUNDDOWN(M92*25%,0)</f>
        <v/>
      </c>
      <c r="M89" s="99">
        <f>ROUNDDOWN(G92*K92,0)</f>
        <v/>
      </c>
      <c r="N89" s="97">
        <f>ROUND($G92*$K92/6,0)</f>
        <v/>
      </c>
      <c r="O89" s="97">
        <f>ROUND($G92*$K92/6,0)</f>
        <v/>
      </c>
      <c r="P89" s="97">
        <f>ROUND($G92*$K92/6,0)</f>
        <v/>
      </c>
      <c r="Q89" s="97">
        <f>ROUND($G92*$K92/6,0)</f>
        <v/>
      </c>
      <c r="R89" s="97">
        <f>ROUND($G92*$K92/6*50%,0)</f>
        <v/>
      </c>
      <c r="S89" s="97">
        <f>ROUND($G92*$K92/6*30%,0)</f>
        <v/>
      </c>
      <c r="T89" s="20" t="inlineStr">
        <is>
          <t>(가칭)효문초 배치
('25.3월 개교 목표)</t>
        </is>
      </c>
      <c r="U89" s="0" t="n">
        <v>35.558799</v>
      </c>
      <c r="V89" s="0" t="n">
        <v>129.382242</v>
      </c>
    </row>
    <row r="90" ht="40" customFormat="1" customHeight="1" s="3">
      <c r="A90" s="60" t="n"/>
      <c r="B90" s="66" t="inlineStr">
        <is>
          <t>완료</t>
        </is>
      </c>
      <c r="C90" s="66" t="inlineStr">
        <is>
          <t>미착공</t>
        </is>
      </c>
      <c r="D90" s="48" t="inlineStr">
        <is>
          <t>중산동 105-1 일원 공동주택</t>
        </is>
      </c>
      <c r="E90" s="77" t="inlineStr">
        <is>
          <t>북구</t>
        </is>
      </c>
      <c r="F90" s="78" t="inlineStr">
        <is>
          <t>북구 중산동 105-1 일원</t>
        </is>
      </c>
      <c r="G90" s="76" t="n">
        <v>998</v>
      </c>
      <c r="H90" s="56" t="inlineStr">
        <is>
          <t>2028.7.31.</t>
        </is>
      </c>
      <c r="I90" s="70" t="n">
        <v>2028</v>
      </c>
      <c r="J90" s="70" t="n"/>
      <c r="K90" s="76" t="n">
        <v>0.25</v>
      </c>
      <c r="L90" s="104">
        <f>ROUNDDOWN(M93*25%,0)</f>
        <v/>
      </c>
      <c r="M90" s="105">
        <f>ROUNDDOWN(G93*K93,0)</f>
        <v/>
      </c>
      <c r="N90" s="97">
        <f>ROUND($G93*$K93/6,0)</f>
        <v/>
      </c>
      <c r="O90" s="97">
        <f>ROUND($G93*$K93/6,0)</f>
        <v/>
      </c>
      <c r="P90" s="97">
        <f>ROUND($G93*$K93/6,0)</f>
        <v/>
      </c>
      <c r="Q90" s="97">
        <f>ROUND($G93*$K93/6,0)</f>
        <v/>
      </c>
      <c r="R90" s="97">
        <f>ROUND($G93*$K93/6*50%,0)</f>
        <v/>
      </c>
      <c r="S90" s="97">
        <f>ROUND($G93*$K93/6*30%,0)</f>
        <v/>
      </c>
      <c r="T90" s="76" t="inlineStr">
        <is>
          <t>중산초 배치 가능</t>
        </is>
      </c>
      <c r="U90" s="0" t="n">
        <v>35.649729</v>
      </c>
      <c r="V90" s="0" t="n">
        <v>129.350324</v>
      </c>
    </row>
    <row r="91" ht="40" customHeight="1" s="95">
      <c r="A91" s="60" t="n"/>
      <c r="B91" s="60" t="inlineStr">
        <is>
          <t>완료</t>
        </is>
      </c>
      <c r="C91" s="60" t="inlineStr">
        <is>
          <t>미착공</t>
        </is>
      </c>
      <c r="D91" s="51" t="inlineStr">
        <is>
          <t>중산동 938 일원 공동주택</t>
        </is>
      </c>
      <c r="E91" s="15" t="inlineStr">
        <is>
          <t>북구</t>
        </is>
      </c>
      <c r="F91" s="16" t="inlineStr">
        <is>
          <t>북구 중산동 938번지 일원</t>
        </is>
      </c>
      <c r="G91" s="26" t="n">
        <v>496</v>
      </c>
      <c r="H91" s="58" t="inlineStr">
        <is>
          <t>2025.4.30.</t>
        </is>
      </c>
      <c r="I91" s="57" t="inlineStr">
        <is>
          <t>2028
(지연예정)</t>
        </is>
      </c>
      <c r="J91" s="57" t="n"/>
      <c r="K91" s="20" t="n">
        <v>0.25</v>
      </c>
      <c r="L91" s="96">
        <f>ROUNDDOWN(M94*25%,0)</f>
        <v/>
      </c>
      <c r="M91" s="99">
        <f>ROUNDDOWN(G94*K94,0)</f>
        <v/>
      </c>
      <c r="N91" s="97">
        <f>ROUND($G94*$K94/6,0)</f>
        <v/>
      </c>
      <c r="O91" s="97">
        <f>ROUND($G94*$K94/6,0)</f>
        <v/>
      </c>
      <c r="P91" s="97">
        <f>ROUND($G94*$K94/6,0)</f>
        <v/>
      </c>
      <c r="Q91" s="97">
        <f>ROUND($G94*$K94/6,0)</f>
        <v/>
      </c>
      <c r="R91" s="97">
        <f>ROUND($G94*$K94/6*50%,0)</f>
        <v/>
      </c>
      <c r="S91" s="97">
        <f>ROUND($G94*$K94/6*30%,0)</f>
        <v/>
      </c>
      <c r="T91" s="20" t="inlineStr">
        <is>
          <t>중산초 배치 가능</t>
        </is>
      </c>
      <c r="U91" s="0" t="n">
        <v>35.647244</v>
      </c>
      <c r="V91" s="0" t="n">
        <v>129.348274</v>
      </c>
    </row>
    <row r="92" ht="38" customHeight="1" s="95">
      <c r="A92" s="60" t="inlineStr">
        <is>
          <t>천곡초 29m</t>
        </is>
      </c>
      <c r="B92" s="60" t="inlineStr">
        <is>
          <t>완료</t>
        </is>
      </c>
      <c r="C92" s="60" t="inlineStr">
        <is>
          <t>미착공</t>
        </is>
      </c>
      <c r="D92" s="49" t="inlineStr">
        <is>
          <t>천곡경남아너스빌더프라임</t>
        </is>
      </c>
      <c r="E92" s="15" t="inlineStr">
        <is>
          <t>북구</t>
        </is>
      </c>
      <c r="F92" s="16" t="inlineStr">
        <is>
          <t>북구 천곡동 525-3 일원</t>
        </is>
      </c>
      <c r="G92" s="26" t="n">
        <v>397</v>
      </c>
      <c r="H92" s="58" t="inlineStr">
        <is>
          <t>2027.2.이후</t>
        </is>
      </c>
      <c r="I92" s="57" t="inlineStr">
        <is>
          <t>지연예정</t>
        </is>
      </c>
      <c r="J92" s="57" t="n">
        <v>2028</v>
      </c>
      <c r="K92" s="20" t="n">
        <v>0.15</v>
      </c>
      <c r="L92" s="96">
        <f>ROUNDDOWN(M95*25%,0)</f>
        <v/>
      </c>
      <c r="M92" s="99">
        <f>ROUNDDOWN(G95*K95,0)</f>
        <v/>
      </c>
      <c r="N92" s="97">
        <f>ROUND($G95*$K95/6,0)</f>
        <v/>
      </c>
      <c r="O92" s="97">
        <f>ROUND($G95*$K95/6,0)</f>
        <v/>
      </c>
      <c r="P92" s="97">
        <f>ROUND($G95*$K95/6,0)</f>
        <v/>
      </c>
      <c r="Q92" s="97">
        <f>ROUND($G95*$K95/6,0)</f>
        <v/>
      </c>
      <c r="R92" s="97">
        <f>ROUND($G95*$K95/6*50%,0)</f>
        <v/>
      </c>
      <c r="S92" s="97">
        <f>ROUND($G95*$K95/6*30%,0)</f>
        <v/>
      </c>
      <c r="T92" s="20" t="inlineStr">
        <is>
          <t>천곡초 배치 가능</t>
        </is>
      </c>
      <c r="U92" s="0" t="n">
        <v>35.638369</v>
      </c>
      <c r="V92" s="0" t="n">
        <v>129.331146</v>
      </c>
    </row>
    <row r="93" ht="40" customHeight="1" s="95">
      <c r="A93" s="60" t="n"/>
      <c r="B93" s="60" t="n"/>
      <c r="C93" s="60" t="n"/>
      <c r="D93" s="51" t="inlineStr">
        <is>
          <t>(가칭)천곡지구 도시개발사업</t>
        </is>
      </c>
      <c r="E93" s="15" t="inlineStr">
        <is>
          <t>북구</t>
        </is>
      </c>
      <c r="F93" s="16" t="inlineStr">
        <is>
          <t>북구 천곡동 산144-1 일원</t>
        </is>
      </c>
      <c r="G93" s="26" t="n">
        <v>2077</v>
      </c>
      <c r="H93" s="58" t="inlineStr">
        <is>
          <t>2025.12.31.
(환지처분)</t>
        </is>
      </c>
      <c r="I93" s="57" t="inlineStr">
        <is>
          <t>2030
(지연예정)</t>
        </is>
      </c>
      <c r="J93" s="57" t="n"/>
      <c r="K93" s="20" t="n">
        <v>0.2</v>
      </c>
      <c r="L93" s="96">
        <f>ROUNDDOWN(M96*25%,0)</f>
        <v/>
      </c>
      <c r="M93" s="99">
        <f>ROUNDDOWN(G96*K96,0)</f>
        <v/>
      </c>
      <c r="N93" s="97">
        <f>ROUND($G96*$K96/6,0)</f>
        <v/>
      </c>
      <c r="O93" s="97">
        <f>ROUND($G96*$K96/6,0)</f>
        <v/>
      </c>
      <c r="P93" s="97">
        <f>ROUND($G96*$K96/6,0)</f>
        <v/>
      </c>
      <c r="Q93" s="97">
        <f>ROUND($G96*$K96/6,0)</f>
        <v/>
      </c>
      <c r="R93" s="97">
        <f>ROUND($G96*$K96/6*50%,0)</f>
        <v/>
      </c>
      <c r="S93" s="97">
        <f>ROUND($G96*$K96/6*30%,0)</f>
        <v/>
      </c>
      <c r="T93" s="25" t="inlineStr">
        <is>
          <t>천곡초 최소 6실 이상 증축</t>
        </is>
      </c>
      <c r="U93" s="0" t="n">
        <v>35.640827</v>
      </c>
      <c r="V93" s="0" t="n">
        <v>129.326441</v>
      </c>
    </row>
    <row r="94" ht="40" customHeight="1" s="95">
      <c r="A94" s="60" t="n"/>
      <c r="B94" s="60" t="n"/>
      <c r="C94" s="60" t="inlineStr">
        <is>
          <t>미착공</t>
        </is>
      </c>
      <c r="D94" s="49" t="inlineStr">
        <is>
          <t>울산태화강변 공공주택지구 주택건설
(A-1BL)[행복주택, 영구임대]</t>
        </is>
      </c>
      <c r="E94" s="15" t="inlineStr">
        <is>
          <t>울주군</t>
        </is>
      </c>
      <c r="F94" s="16" t="inlineStr">
        <is>
          <t>울주군 범서읍 굴화리 일원</t>
        </is>
      </c>
      <c r="G94" s="26" t="n">
        <v>324</v>
      </c>
      <c r="H94" s="58" t="inlineStr">
        <is>
          <t>2027.5.</t>
        </is>
      </c>
      <c r="I94" s="57" t="n">
        <v>2027</v>
      </c>
      <c r="J94" s="57" t="n"/>
      <c r="K94" s="20" t="n">
        <v>0.05</v>
      </c>
      <c r="L94" s="96">
        <f>ROUNDDOWN(M97*25%,0)</f>
        <v/>
      </c>
      <c r="M94" s="99">
        <f>ROUNDDOWN(G97*K97,0)</f>
        <v/>
      </c>
      <c r="N94" s="97">
        <f>ROUND($G97*$K97/6,0)</f>
        <v/>
      </c>
      <c r="O94" s="97">
        <f>ROUND($G97*$K97/6,0)</f>
        <v/>
      </c>
      <c r="P94" s="97">
        <f>ROUND($G97*$K97/6,0)</f>
        <v/>
      </c>
      <c r="Q94" s="97">
        <f>ROUND($G97*$K97/6,0)</f>
        <v/>
      </c>
      <c r="R94" s="97">
        <f>ROUND($G97*$K97/6*50%,0)</f>
        <v/>
      </c>
      <c r="S94" s="97">
        <f>ROUND($G97*$K97/6*30%,0)</f>
        <v/>
      </c>
      <c r="T94" s="20" t="inlineStr">
        <is>
          <t>굴화초 배치 가능</t>
        </is>
      </c>
      <c r="U94" s="0" t="n">
        <v>35.559299</v>
      </c>
      <c r="V94" s="0" t="n">
        <v>129.258209</v>
      </c>
    </row>
    <row r="95" ht="40" customHeight="1" s="95">
      <c r="A95" s="60" t="n"/>
      <c r="B95" s="60" t="n"/>
      <c r="C95" s="60" t="inlineStr">
        <is>
          <t>미착공</t>
        </is>
      </c>
      <c r="D95" s="49" t="inlineStr">
        <is>
          <t>울산태화강변 공공주택지구 주택건설
(A-2BL)[공공분양, 공공임대]</t>
        </is>
      </c>
      <c r="E95" s="15" t="inlineStr">
        <is>
          <t>울주군</t>
        </is>
      </c>
      <c r="F95" s="16" t="inlineStr">
        <is>
          <t>울주군 범서읍 굴화리 일원</t>
        </is>
      </c>
      <c r="G95" s="26" t="n">
        <v>435</v>
      </c>
      <c r="H95" s="58" t="inlineStr">
        <is>
          <t>2027.7.</t>
        </is>
      </c>
      <c r="I95" s="57" t="n">
        <v>2027</v>
      </c>
      <c r="J95" s="57" t="n"/>
      <c r="K95" s="20" t="n">
        <v>0.05</v>
      </c>
      <c r="L95" s="96">
        <f>ROUNDDOWN(M98*25%,0)</f>
        <v/>
      </c>
      <c r="M95" s="99">
        <f>ROUNDDOWN(G98*K98,0)</f>
        <v/>
      </c>
      <c r="N95" s="97">
        <f>ROUND($G98*$K98/6,0)</f>
        <v/>
      </c>
      <c r="O95" s="97">
        <f>ROUND($G98*$K98/6,0)</f>
        <v/>
      </c>
      <c r="P95" s="97">
        <f>ROUND($G98*$K98/6,0)</f>
        <v/>
      </c>
      <c r="Q95" s="97">
        <f>ROUND($G98*$K98/6,0)</f>
        <v/>
      </c>
      <c r="R95" s="97">
        <f>ROUND($G98*$K98/6*50%,0)</f>
        <v/>
      </c>
      <c r="S95" s="97">
        <f>ROUND($G98*$K98/6*30%,0)</f>
        <v/>
      </c>
      <c r="T95" s="20" t="inlineStr">
        <is>
          <t>굴화초 배치 가능</t>
        </is>
      </c>
      <c r="U95" s="0" t="n">
        <v>35.559995</v>
      </c>
      <c r="V95" s="0" t="n">
        <v>129.259601</v>
      </c>
    </row>
    <row r="96" ht="40" customHeight="1" s="95">
      <c r="A96" s="60" t="n"/>
      <c r="B96" s="60" t="n"/>
      <c r="C96" s="60" t="inlineStr">
        <is>
          <t>착공(2025.3.)</t>
        </is>
      </c>
      <c r="D96" s="49" t="inlineStr">
        <is>
          <t>울산태화강변 공공주택지구 주택건설
(S-1BL)[민간분양]</t>
        </is>
      </c>
      <c r="E96" s="15" t="inlineStr">
        <is>
          <t>울주군</t>
        </is>
      </c>
      <c r="F96" s="16" t="inlineStr">
        <is>
          <t>울주군 범서읍 굴화리 일원</t>
        </is>
      </c>
      <c r="G96" s="26" t="n">
        <v>307</v>
      </c>
      <c r="H96" s="58" t="inlineStr">
        <is>
          <t>2025.3.~
2027.6.</t>
        </is>
      </c>
      <c r="I96" s="57" t="n">
        <v>2027</v>
      </c>
      <c r="J96" s="57" t="n"/>
      <c r="K96" s="20" t="n">
        <v>0.1</v>
      </c>
      <c r="L96" s="96">
        <f>ROUNDDOWN(M99*25%,0)</f>
        <v/>
      </c>
      <c r="M96" s="99">
        <f>ROUNDDOWN(G99*K99,0)</f>
        <v/>
      </c>
      <c r="N96" s="97">
        <f>ROUND($G99*$K99/6,0)</f>
        <v/>
      </c>
      <c r="O96" s="97">
        <f>ROUND($G99*$K99/6,0)</f>
        <v/>
      </c>
      <c r="P96" s="97">
        <f>ROUND($G99*$K99/6,0)</f>
        <v/>
      </c>
      <c r="Q96" s="97">
        <f>ROUND($G99*$K99/6,0)</f>
        <v/>
      </c>
      <c r="R96" s="97">
        <f>ROUND($G99*$K99/6*50%,0)</f>
        <v/>
      </c>
      <c r="S96" s="97">
        <f>ROUND($G99*$K99/6*30%,0)</f>
        <v/>
      </c>
      <c r="T96" s="20" t="inlineStr">
        <is>
          <t>굴화초 배치 가능</t>
        </is>
      </c>
      <c r="U96" s="0" t="n">
        <v>35.558332</v>
      </c>
      <c r="V96" s="0" t="n">
        <v>129.259606</v>
      </c>
    </row>
    <row r="97" ht="40" customHeight="1" s="95">
      <c r="A97" s="60" t="n"/>
      <c r="B97" s="60" t="n"/>
      <c r="C97" s="60" t="inlineStr">
        <is>
          <t>미착공</t>
        </is>
      </c>
      <c r="D97" s="52" t="inlineStr">
        <is>
          <t>울산KTX신도시동문디이스트</t>
        </is>
      </c>
      <c r="E97" s="15" t="inlineStr">
        <is>
          <t>울주군</t>
        </is>
      </c>
      <c r="F97" s="38" t="inlineStr">
        <is>
          <t>울주군 삼남읍 교동리 1679-1 일원</t>
        </is>
      </c>
      <c r="G97" s="39" t="n">
        <v>1110</v>
      </c>
      <c r="H97" s="56" t="inlineStr">
        <is>
          <t>2025.~2028.이후</t>
        </is>
      </c>
      <c r="I97" s="70" t="inlineStr">
        <is>
          <t>지연예정</t>
        </is>
      </c>
      <c r="J97" s="70" t="n">
        <v>2028</v>
      </c>
      <c r="K97" s="37" t="n">
        <v>0.1</v>
      </c>
      <c r="L97" s="37">
        <f>ROUNDDOWN(M100*25%,0)</f>
        <v/>
      </c>
      <c r="M97" s="37">
        <f>ROUNDDOWN(G100*K100,0)</f>
        <v/>
      </c>
      <c r="N97" s="97">
        <f>ROUND($G100*$K100/6,0)</f>
        <v/>
      </c>
      <c r="O97" s="97">
        <f>ROUND($G100*$K100/6,0)</f>
        <v/>
      </c>
      <c r="P97" s="97">
        <f>ROUND($G100*$K100/6,0)</f>
        <v/>
      </c>
      <c r="Q97" s="97">
        <f>ROUND($G100*$K100/6,0)</f>
        <v/>
      </c>
      <c r="R97" s="97">
        <f>ROUND($G100*$K100/6*50%,0)</f>
        <v/>
      </c>
      <c r="S97" s="97">
        <f>ROUND($G100*$K100/6*30%,0)</f>
        <v/>
      </c>
      <c r="T97" s="37" t="inlineStr">
        <is>
          <t>삼남초 배치 가능</t>
        </is>
      </c>
      <c r="U97" s="0" t="n">
        <v>35.556713</v>
      </c>
      <c r="V97" s="0" t="n">
        <v>129.132947</v>
      </c>
    </row>
    <row r="98" ht="40" customHeight="1" s="95">
      <c r="A98" s="60" t="n"/>
      <c r="B98" s="60" t="n"/>
      <c r="C98" s="60" t="inlineStr">
        <is>
          <t>공사중</t>
        </is>
      </c>
      <c r="D98" s="50" t="inlineStr">
        <is>
          <t>울산에피트스타시티</t>
        </is>
      </c>
      <c r="E98" s="15" t="inlineStr">
        <is>
          <t>울주군</t>
        </is>
      </c>
      <c r="F98" s="24" t="inlineStr">
        <is>
          <t>울주군 삼남읍 교동리 1681 일원</t>
        </is>
      </c>
      <c r="G98" s="25" t="n">
        <v>602</v>
      </c>
      <c r="H98" s="59" t="inlineStr">
        <is>
          <t>2026.10.</t>
        </is>
      </c>
      <c r="I98" s="57" t="n">
        <v>2026</v>
      </c>
      <c r="J98" s="57" t="n"/>
      <c r="K98" s="25" t="n">
        <v>0.05</v>
      </c>
      <c r="L98" s="96">
        <f>ROUNDDOWN(M101*25%,0)</f>
        <v/>
      </c>
      <c r="M98" s="99">
        <f>ROUNDDOWN(G101*K101,0)</f>
        <v/>
      </c>
      <c r="N98" s="97">
        <f>ROUND($G101*$K101/6,0)</f>
        <v/>
      </c>
      <c r="O98" s="97">
        <f>ROUND($G101*$K101/6,0)</f>
        <v/>
      </c>
      <c r="P98" s="97">
        <f>ROUND($G101*$K101/6,0)</f>
        <v/>
      </c>
      <c r="Q98" s="97">
        <f>ROUND($G101*$K101/6,0)</f>
        <v/>
      </c>
      <c r="R98" s="97">
        <f>ROUND($G101*$K101/6*50%,0)</f>
        <v/>
      </c>
      <c r="S98" s="97">
        <f>ROUND($G101*$K101/6*30%,0)</f>
        <v/>
      </c>
      <c r="T98" s="25" t="inlineStr">
        <is>
          <t>삼남초 배치 가능</t>
        </is>
      </c>
      <c r="U98" s="0" t="n">
        <v>35.555408</v>
      </c>
      <c r="V98" s="0" t="n">
        <v>129.136377</v>
      </c>
    </row>
    <row r="99" ht="126" customHeight="1" s="95">
      <c r="A99" s="60" t="n"/>
      <c r="B99" s="60" t="n"/>
      <c r="C99" s="60" t="inlineStr">
        <is>
          <t>미착공</t>
        </is>
      </c>
      <c r="D99" s="50" t="inlineStr">
        <is>
          <t>교동리 1682-1 오피스텔</t>
        </is>
      </c>
      <c r="E99" s="15" t="inlineStr">
        <is>
          <t>울주군</t>
        </is>
      </c>
      <c r="F99" s="24" t="inlineStr">
        <is>
          <t>울주군 삼남읍 교동리 1682-1 일원</t>
        </is>
      </c>
      <c r="G99" s="25" t="n">
        <v>637</v>
      </c>
      <c r="H99" s="68" t="inlineStr">
        <is>
          <t>미정</t>
        </is>
      </c>
      <c r="I99" s="57" t="n">
        <v>2028</v>
      </c>
      <c r="J99" s="57" t="n"/>
      <c r="K99" s="25" t="n">
        <v>0.05</v>
      </c>
      <c r="L99" s="96">
        <f>ROUNDDOWN(M102*25%,0)</f>
        <v/>
      </c>
      <c r="M99" s="99">
        <f>ROUNDDOWN(G102*K102,0)</f>
        <v/>
      </c>
      <c r="N99" s="97">
        <f>ROUND($G102*$K102/6,0)</f>
        <v/>
      </c>
      <c r="O99" s="97">
        <f>ROUND($G102*$K102/6,0)</f>
        <v/>
      </c>
      <c r="P99" s="97">
        <f>ROUND($G102*$K102/6,0)</f>
        <v/>
      </c>
      <c r="Q99" s="97">
        <f>ROUND($G102*$K102/6,0)</f>
        <v/>
      </c>
      <c r="R99" s="97">
        <f>ROUND($G102*$K102/6*50%,0)</f>
        <v/>
      </c>
      <c r="S99" s="97">
        <f>ROUND($G102*$K102/6*30%,0)</f>
        <v/>
      </c>
      <c r="T99" s="25" t="inlineStr">
        <is>
          <t>삼남초 배치 가능</t>
        </is>
      </c>
      <c r="U99" s="0" t="n">
        <v>35.554415</v>
      </c>
      <c r="V99" s="0" t="n">
        <v>129.135825</v>
      </c>
    </row>
    <row r="100" ht="40" customHeight="1" s="95">
      <c r="A100" s="60" t="n"/>
      <c r="B100" s="60" t="n"/>
      <c r="C100" s="60" t="inlineStr">
        <is>
          <t>미착공</t>
        </is>
      </c>
      <c r="D100" s="52" t="inlineStr">
        <is>
          <t>교동리 355-2 일원 주거복합</t>
        </is>
      </c>
      <c r="E100" s="15" t="inlineStr">
        <is>
          <t>울주군</t>
        </is>
      </c>
      <c r="F100" s="38" t="inlineStr">
        <is>
          <t>울주군 삼남읍 교동리 355-2 일원</t>
        </is>
      </c>
      <c r="G100" s="37" t="n">
        <v>472</v>
      </c>
      <c r="H100" s="54" t="inlineStr">
        <is>
          <t>2027.2.이후</t>
        </is>
      </c>
      <c r="I100" s="70" t="inlineStr">
        <is>
          <t>지연예정</t>
        </is>
      </c>
      <c r="J100" s="70" t="n">
        <v>2028</v>
      </c>
      <c r="K100" s="37" t="n">
        <v>0.1</v>
      </c>
      <c r="L100" s="37">
        <f>ROUNDDOWN(M103*25%,0)</f>
        <v/>
      </c>
      <c r="M100" s="37">
        <f>ROUNDDOWN(G103*K103,0)</f>
        <v/>
      </c>
      <c r="N100" s="97">
        <f>ROUND($G103*$K103/6,0)</f>
        <v/>
      </c>
      <c r="O100" s="97">
        <f>ROUND($G103*$K103/6,0)</f>
        <v/>
      </c>
      <c r="P100" s="97">
        <f>ROUND($G103*$K103/6,0)</f>
        <v/>
      </c>
      <c r="Q100" s="97">
        <f>ROUND($G103*$K103/6,0)</f>
        <v/>
      </c>
      <c r="R100" s="97">
        <f>ROUND($G103*$K103/6*50%,0)</f>
        <v/>
      </c>
      <c r="S100" s="97">
        <f>ROUND($G103*$K103/6*30%,0)</f>
        <v/>
      </c>
      <c r="T100" s="37" t="inlineStr">
        <is>
          <t>영화초 배치 가능</t>
        </is>
      </c>
      <c r="U100" s="0" t="n">
        <v>35.561612</v>
      </c>
      <c r="V100" s="0" t="n">
        <v>129.121142</v>
      </c>
    </row>
    <row r="101" ht="40" customHeight="1" s="95">
      <c r="A101" s="60" t="n"/>
      <c r="B101" s="60" t="n"/>
      <c r="C101" s="60" t="inlineStr">
        <is>
          <t>공사중지</t>
        </is>
      </c>
      <c r="D101" s="49" t="inlineStr">
        <is>
          <t>울산역폴리시아아이유쉘</t>
        </is>
      </c>
      <c r="E101" s="15" t="inlineStr">
        <is>
          <t>울주군</t>
        </is>
      </c>
      <c r="F101" s="16" t="inlineStr">
        <is>
          <t>울주군 삼남읍 신화리 1601-2 일원</t>
        </is>
      </c>
      <c r="G101" s="26" t="n">
        <v>523</v>
      </c>
      <c r="H101" s="58" t="inlineStr">
        <is>
          <t>2026.12.</t>
        </is>
      </c>
      <c r="I101" s="57" t="n">
        <v>2026</v>
      </c>
      <c r="J101" s="57" t="n"/>
      <c r="K101" s="20" t="n">
        <v>0.1</v>
      </c>
      <c r="L101" s="96">
        <f>ROUNDDOWN(M104*25%,0)</f>
        <v/>
      </c>
      <c r="M101" s="99">
        <f>ROUNDDOWN(G104*K104,0)</f>
        <v/>
      </c>
      <c r="N101" s="97">
        <f>ROUND($G104*$K104/6,0)</f>
        <v/>
      </c>
      <c r="O101" s="97">
        <f>ROUND($G104*$K104/6,0)</f>
        <v/>
      </c>
      <c r="P101" s="97">
        <f>ROUND($G104*$K104/6,0)</f>
        <v/>
      </c>
      <c r="Q101" s="97">
        <f>ROUND($G104*$K104/6,0)</f>
        <v/>
      </c>
      <c r="R101" s="97">
        <f>ROUND($G104*$K104/6*50%,0)</f>
        <v/>
      </c>
      <c r="S101" s="97">
        <f>ROUND($G104*$K104/6*30%,0)</f>
        <v/>
      </c>
      <c r="T101" s="20" t="inlineStr">
        <is>
          <t>삼남초 배치 가능</t>
        </is>
      </c>
      <c r="U101" s="0" t="n">
        <v>35.553741</v>
      </c>
      <c r="V101" s="0" t="n">
        <v>129.139078</v>
      </c>
    </row>
    <row r="102" ht="40" customHeight="1" s="95">
      <c r="A102" s="60" t="n"/>
      <c r="B102" s="60" t="n"/>
      <c r="C102" s="60" t="inlineStr">
        <is>
          <t>미착공</t>
        </is>
      </c>
      <c r="D102" s="49" t="inlineStr">
        <is>
          <t>씨엠베르체</t>
        </is>
      </c>
      <c r="E102" s="15" t="inlineStr">
        <is>
          <t>울주군</t>
        </is>
      </c>
      <c r="F102" s="16" t="inlineStr">
        <is>
          <t>울주군 삼남읍 신화리 1608-4 일원</t>
        </is>
      </c>
      <c r="G102" s="26" t="n">
        <v>434</v>
      </c>
      <c r="H102" s="58" t="inlineStr">
        <is>
          <t>2027.3.이후</t>
        </is>
      </c>
      <c r="I102" s="70" t="inlineStr">
        <is>
          <t>지연예정</t>
        </is>
      </c>
      <c r="J102" s="70" t="n">
        <v>2028</v>
      </c>
      <c r="K102" s="20" t="n">
        <v>0.1</v>
      </c>
      <c r="L102" s="96">
        <f>ROUNDDOWN(M105*25%,0)</f>
        <v/>
      </c>
      <c r="M102" s="99">
        <f>ROUNDDOWN(G105*K105,0)</f>
        <v/>
      </c>
      <c r="N102" s="97">
        <f>ROUND($G105*$K105/6,0)</f>
        <v/>
      </c>
      <c r="O102" s="97">
        <f>ROUND($G105*$K105/6,0)</f>
        <v/>
      </c>
      <c r="P102" s="97">
        <f>ROUND($G105*$K105/6,0)</f>
        <v/>
      </c>
      <c r="Q102" s="97">
        <f>ROUND($G105*$K105/6,0)</f>
        <v/>
      </c>
      <c r="R102" s="97">
        <f>ROUND($G105*$K105/6*50%,0)</f>
        <v/>
      </c>
      <c r="S102" s="97">
        <f>ROUND($G105*$K105/6*30%,0)</f>
        <v/>
      </c>
      <c r="T102" s="20" t="inlineStr">
        <is>
          <t>삼남초 배치 가능</t>
        </is>
      </c>
      <c r="U102" s="0" t="n">
        <v>35.545695</v>
      </c>
      <c r="V102" s="0" t="n">
        <v>129.139274</v>
      </c>
    </row>
    <row r="103" ht="40" customHeight="1" s="95">
      <c r="A103" s="60" t="n"/>
      <c r="B103" s="60" t="n"/>
      <c r="C103" s="60" t="inlineStr">
        <is>
          <t>미착공</t>
        </is>
      </c>
      <c r="D103" s="49" t="inlineStr">
        <is>
          <t>KTX 역세권 힐스테이트(M5)</t>
        </is>
      </c>
      <c r="E103" s="15" t="inlineStr">
        <is>
          <t>울주군</t>
        </is>
      </c>
      <c r="F103" s="16" t="inlineStr">
        <is>
          <t>울주군 삼남읍 신화리 45 일원</t>
        </is>
      </c>
      <c r="G103" s="26" t="n">
        <v>734</v>
      </c>
      <c r="H103" s="58" t="inlineStr">
        <is>
          <t>2025.~2028.이후</t>
        </is>
      </c>
      <c r="I103" s="70" t="inlineStr">
        <is>
          <t>지연예정</t>
        </is>
      </c>
      <c r="J103" s="70" t="n">
        <v>2028</v>
      </c>
      <c r="K103" s="20" t="n">
        <v>0.1</v>
      </c>
      <c r="L103" s="96">
        <f>ROUNDDOWN(M106*25%,0)</f>
        <v/>
      </c>
      <c r="M103" s="99">
        <f>ROUNDDOWN(G106*K106,0)</f>
        <v/>
      </c>
      <c r="N103" s="97">
        <f>ROUND($G106*$K106/6,0)</f>
        <v/>
      </c>
      <c r="O103" s="97">
        <f>ROUND($G106*$K106/6,0)</f>
        <v/>
      </c>
      <c r="P103" s="97">
        <f>ROUND($G106*$K106/6,0)</f>
        <v/>
      </c>
      <c r="Q103" s="97">
        <f>ROUND($G106*$K106/6,0)</f>
        <v/>
      </c>
      <c r="R103" s="97">
        <f>ROUND($G106*$K106/6*50%,0)</f>
        <v/>
      </c>
      <c r="S103" s="97">
        <f>ROUND($G106*$K106/6*30%,0)</f>
        <v/>
      </c>
      <c r="T103" s="28" t="inlineStr">
        <is>
          <t>삼남초 배치 가능</t>
        </is>
      </c>
      <c r="U103" s="0" t="n">
        <v>35.549342</v>
      </c>
      <c r="V103" s="0" t="n">
        <v>129.143697</v>
      </c>
    </row>
    <row r="104" ht="40" customHeight="1" s="95">
      <c r="A104" s="60" t="n"/>
      <c r="B104" s="60" t="n"/>
      <c r="C104" s="60" t="inlineStr">
        <is>
          <t>공사중단</t>
        </is>
      </c>
      <c r="D104" s="49" t="inlineStr">
        <is>
          <t>울산진하한양립스그랑블루</t>
        </is>
      </c>
      <c r="E104" s="15" t="inlineStr">
        <is>
          <t>울주군</t>
        </is>
      </c>
      <c r="F104" s="16" t="inlineStr">
        <is>
          <t>울주군 서생면 진하리 78-9일원</t>
        </is>
      </c>
      <c r="G104" s="20" t="n">
        <v>528</v>
      </c>
      <c r="H104" s="58" t="inlineStr">
        <is>
          <t>2021.11.23.
~2027.10.이후</t>
        </is>
      </c>
      <c r="I104" s="57" t="inlineStr">
        <is>
          <t>지연예정</t>
        </is>
      </c>
      <c r="J104" s="70" t="n">
        <v>2028</v>
      </c>
      <c r="K104" s="20" t="n">
        <v>0.1</v>
      </c>
      <c r="L104" s="96">
        <f>ROUNDDOWN(M107*25%,0)</f>
        <v/>
      </c>
      <c r="M104" s="99">
        <f>ROUNDDOWN(G107*K107,0)</f>
        <v/>
      </c>
      <c r="N104" s="97">
        <f>ROUND($G107*$K107/6,0)</f>
        <v/>
      </c>
      <c r="O104" s="97">
        <f>ROUND($G107*$K107/6,0)</f>
        <v/>
      </c>
      <c r="P104" s="97">
        <f>ROUND($G107*$K107/6,0)</f>
        <v/>
      </c>
      <c r="Q104" s="97">
        <f>ROUND($G107*$K107/6,0)</f>
        <v/>
      </c>
      <c r="R104" s="97">
        <f>ROUND($G107*$K107/6*50%,0)</f>
        <v/>
      </c>
      <c r="S104" s="97">
        <f>ROUND($G107*$K107/6*30%,0)</f>
        <v/>
      </c>
      <c r="T104" s="28" t="inlineStr">
        <is>
          <t>성동초 배치 가능</t>
        </is>
      </c>
      <c r="U104" s="0" t="n">
        <v>35.386443</v>
      </c>
      <c r="V104" s="0" t="n">
        <v>129.346456</v>
      </c>
    </row>
    <row r="105" ht="40" customHeight="1" s="95">
      <c r="A105" s="60" t="n"/>
      <c r="B105" s="60" t="n"/>
      <c r="C105" s="60" t="inlineStr">
        <is>
          <t>미착공</t>
        </is>
      </c>
      <c r="D105" s="48" t="inlineStr">
        <is>
          <t>역세권 M6 주상복합</t>
        </is>
      </c>
      <c r="E105" s="15" t="inlineStr">
        <is>
          <t>울주군</t>
        </is>
      </c>
      <c r="F105" s="38" t="inlineStr">
        <is>
          <t>울주군 언양읍 반송리 1030 일원</t>
        </is>
      </c>
      <c r="G105" s="26" t="n">
        <v>1340</v>
      </c>
      <c r="H105" s="56" t="inlineStr">
        <is>
          <t>2025.~2028.이후</t>
        </is>
      </c>
      <c r="I105" s="70" t="inlineStr">
        <is>
          <t>지연예정</t>
        </is>
      </c>
      <c r="J105" s="70" t="n">
        <v>2028</v>
      </c>
      <c r="K105" s="37" t="n">
        <v>0.1</v>
      </c>
      <c r="L105" s="37">
        <f>ROUNDDOWN(M108*25%,0)</f>
        <v/>
      </c>
      <c r="M105" s="37">
        <f>ROUNDDOWN(G108*K108,0)</f>
        <v/>
      </c>
      <c r="N105" s="97">
        <f>ROUND($G108*$K108/6,0)</f>
        <v/>
      </c>
      <c r="O105" s="97">
        <f>ROUND($G108*$K108/6,0)</f>
        <v/>
      </c>
      <c r="P105" s="97">
        <f>ROUND($G108*$K108/6,0)</f>
        <v/>
      </c>
      <c r="Q105" s="97">
        <f>ROUND($G108*$K108/6,0)</f>
        <v/>
      </c>
      <c r="R105" s="97">
        <f>ROUND($G108*$K108/6*50%,0)</f>
        <v/>
      </c>
      <c r="S105" s="97">
        <f>ROUND($G108*$K108/6*30%,0)</f>
        <v/>
      </c>
      <c r="T105" s="37" t="inlineStr">
        <is>
          <t>삼남초 배치 가능</t>
        </is>
      </c>
      <c r="U105" s="0" t="n">
        <v>35.548002</v>
      </c>
      <c r="V105" s="0" t="n">
        <v>129.144706</v>
      </c>
    </row>
    <row r="106" ht="40" customHeight="1" s="95">
      <c r="A106" s="60" t="n"/>
      <c r="B106" s="60" t="n"/>
      <c r="C106" s="60" t="inlineStr">
        <is>
          <t>미착공</t>
        </is>
      </c>
      <c r="D106" s="49" t="inlineStr">
        <is>
          <t>대안3지구 도시개발사업(자이)
(택지조성-금아건설, 시공-푸르지오 협의중)</t>
        </is>
      </c>
      <c r="E106" s="20" t="inlineStr">
        <is>
          <t>울주군</t>
        </is>
      </c>
      <c r="F106" s="16" t="inlineStr">
        <is>
          <t>울주군 온양읍 대안리 79 일원</t>
        </is>
      </c>
      <c r="G106" s="29" t="n">
        <v>1018</v>
      </c>
      <c r="H106" s="58" t="inlineStr">
        <is>
          <t>2028.이후</t>
        </is>
      </c>
      <c r="I106" s="57" t="inlineStr">
        <is>
          <t>지연예정</t>
        </is>
      </c>
      <c r="J106" s="57" t="n">
        <v>2028</v>
      </c>
      <c r="K106" s="20" t="n">
        <v>0.15</v>
      </c>
      <c r="L106" s="96">
        <f>ROUNDDOWN(M109*25%,0)</f>
        <v/>
      </c>
      <c r="M106" s="99">
        <f>ROUNDDOWN(G109*K109,0)</f>
        <v/>
      </c>
      <c r="N106" s="97">
        <f>ROUND($G109*$K109/6,0)</f>
        <v/>
      </c>
      <c r="O106" s="97">
        <f>ROUND($G109*$K109/6,0)</f>
        <v/>
      </c>
      <c r="P106" s="97">
        <f>ROUND($G109*$K109/6,0)</f>
        <v/>
      </c>
      <c r="Q106" s="97">
        <f>ROUND($G109*$K109/6,0)</f>
        <v/>
      </c>
      <c r="R106" s="97">
        <f>ROUND($G109*$K109/6*50%,0)</f>
        <v/>
      </c>
      <c r="S106" s="97">
        <f>ROUND($G109*$K109/6*30%,0)</f>
        <v/>
      </c>
      <c r="T106" s="20" t="inlineStr">
        <is>
          <t>온남초 배치 가능</t>
        </is>
      </c>
      <c r="U106" s="0" t="n">
        <v>35.412925</v>
      </c>
      <c r="V106" s="0" t="n">
        <v>129.293643</v>
      </c>
    </row>
    <row r="107" ht="40" customHeight="1" s="95">
      <c r="A107" s="60" t="n"/>
      <c r="B107" s="60" t="n"/>
      <c r="C107" s="60" t="inlineStr">
        <is>
          <t>미착공</t>
        </is>
      </c>
      <c r="D107" s="48" t="inlineStr">
        <is>
          <t>망양2지구 10B-1L 공동주택</t>
        </is>
      </c>
      <c r="E107" s="15" t="inlineStr">
        <is>
          <t>울주군</t>
        </is>
      </c>
      <c r="F107" s="38" t="inlineStr">
        <is>
          <t>울주군 온양읍 망양리 12 일원</t>
        </is>
      </c>
      <c r="G107" s="37" t="n">
        <v>346</v>
      </c>
      <c r="H107" s="56" t="inlineStr">
        <is>
          <t>2024.4.~
2026.8.이후</t>
        </is>
      </c>
      <c r="I107" s="70" t="inlineStr">
        <is>
          <t>지연예정</t>
        </is>
      </c>
      <c r="J107" s="70" t="n">
        <v>2028</v>
      </c>
      <c r="K107" s="37" t="n">
        <v>0.1</v>
      </c>
      <c r="L107" s="96">
        <f>ROUNDDOWN(M110*25%,0)</f>
        <v/>
      </c>
      <c r="M107" s="99">
        <f>ROUNDDOWN(G110*K110,0)</f>
        <v/>
      </c>
      <c r="N107" s="97">
        <f>ROUND($G110*$K110/6,0)</f>
        <v/>
      </c>
      <c r="O107" s="97">
        <f>ROUND($G110*$K110/6,0)</f>
        <v/>
      </c>
      <c r="P107" s="97">
        <f>ROUND($G110*$K110/6,0)</f>
        <v/>
      </c>
      <c r="Q107" s="97">
        <f>ROUND($G110*$K110/6,0)</f>
        <v/>
      </c>
      <c r="R107" s="97">
        <f>ROUND($G110*$K110/6*50%,0)</f>
        <v/>
      </c>
      <c r="S107" s="97">
        <f>ROUND($G110*$K110/6*30%,0)</f>
        <v/>
      </c>
      <c r="T107" s="37" t="inlineStr">
        <is>
          <t>온양초(원거리)</t>
        </is>
      </c>
      <c r="U107" s="0" t="n">
        <v>35.458787</v>
      </c>
      <c r="V107" s="0" t="n">
        <v>129.294389</v>
      </c>
    </row>
    <row r="108" ht="40" customHeight="1" s="95">
      <c r="A108" s="60" t="n"/>
      <c r="B108" s="60" t="n"/>
      <c r="C108" s="60" t="inlineStr">
        <is>
          <t>미착공</t>
        </is>
      </c>
      <c r="D108" s="48" t="inlineStr">
        <is>
          <t>울산e지아아파트 신축공사(임대)</t>
        </is>
      </c>
      <c r="E108" s="37" t="inlineStr">
        <is>
          <t>울주군</t>
        </is>
      </c>
      <c r="F108" s="38" t="inlineStr">
        <is>
          <t>울주군 온양읍 망양리 773번지 일원</t>
        </is>
      </c>
      <c r="G108" s="37" t="n">
        <v>448</v>
      </c>
      <c r="H108" s="56" t="inlineStr">
        <is>
          <t>2025.3.~
2027.5.</t>
        </is>
      </c>
      <c r="I108" s="55" t="n">
        <v>2027</v>
      </c>
      <c r="J108" s="55" t="n"/>
      <c r="K108" s="37" t="n">
        <v>0.05</v>
      </c>
      <c r="L108" s="96">
        <f>ROUNDDOWN(M111*25%,0)</f>
        <v/>
      </c>
      <c r="M108" s="96">
        <f>ROUNDDOWN(G111*K111,0)</f>
        <v/>
      </c>
      <c r="N108" s="97">
        <f>ROUND($G111*$K111/6,0)</f>
        <v/>
      </c>
      <c r="O108" s="97">
        <f>ROUND($G111*$K111/6,0)</f>
        <v/>
      </c>
      <c r="P108" s="97">
        <f>ROUND($G111*$K111/6,0)</f>
        <v/>
      </c>
      <c r="Q108" s="97">
        <f>ROUND($G111*$K111/6,0)</f>
        <v/>
      </c>
      <c r="R108" s="97">
        <f>ROUND($G111*$K111/6*50%,0)</f>
        <v/>
      </c>
      <c r="S108" s="97">
        <f>ROUND($G111*$K111/6*30%,0)</f>
        <v/>
      </c>
      <c r="T108" s="37" t="inlineStr">
        <is>
          <t>온양초(원거리)</t>
        </is>
      </c>
      <c r="U108" s="0" t="n">
        <v>35.455173</v>
      </c>
      <c r="V108" s="0" t="n">
        <v>129.296679</v>
      </c>
    </row>
    <row r="109" ht="40" customHeight="1" s="95">
      <c r="A109" s="60" t="n"/>
      <c r="B109" s="60" t="inlineStr">
        <is>
          <t>완료</t>
        </is>
      </c>
      <c r="C109" s="60" t="inlineStr">
        <is>
          <t>미착공</t>
        </is>
      </c>
      <c r="D109" s="49" t="inlineStr">
        <is>
          <t>온양 발리 352 일원 민간임대주택</t>
        </is>
      </c>
      <c r="E109" s="20" t="inlineStr">
        <is>
          <t>울주군</t>
        </is>
      </c>
      <c r="F109" s="16" t="inlineStr">
        <is>
          <t>울주군 온양읍 발리 352 일원</t>
        </is>
      </c>
      <c r="G109" s="26" t="n">
        <v>747</v>
      </c>
      <c r="H109" s="58" t="inlineStr">
        <is>
          <t>미정(2028)</t>
        </is>
      </c>
      <c r="I109" s="70" t="inlineStr">
        <is>
          <t>지연예정</t>
        </is>
      </c>
      <c r="J109" s="70" t="n">
        <v>2028</v>
      </c>
      <c r="K109" s="20" t="n">
        <v>0.1</v>
      </c>
      <c r="L109" s="96">
        <f>ROUNDDOWN(M112*25%,0)</f>
        <v/>
      </c>
      <c r="M109" s="99">
        <f>ROUNDDOWN(G112*K112,0)</f>
        <v/>
      </c>
      <c r="N109" s="97">
        <f>ROUND($G112*$K112/6,0)</f>
        <v/>
      </c>
      <c r="O109" s="97">
        <f>ROUND($G112*$K112/6,0)</f>
        <v/>
      </c>
      <c r="P109" s="97">
        <f>ROUND($G112*$K112/6,0)</f>
        <v/>
      </c>
      <c r="Q109" s="97">
        <f>ROUND($G112*$K112/6,0)</f>
        <v/>
      </c>
      <c r="R109" s="97">
        <f>ROUND($G112*$K112/6*50%,0)</f>
        <v/>
      </c>
      <c r="S109" s="97">
        <f>ROUND($G112*$K112/6*30%,0)</f>
        <v/>
      </c>
      <c r="T109" s="20" t="inlineStr">
        <is>
          <t>온남초 배치 가능</t>
        </is>
      </c>
      <c r="U109" s="0" t="n">
        <v>35.408281</v>
      </c>
      <c r="V109" s="0" t="n">
        <v>129.301277</v>
      </c>
    </row>
    <row r="110" ht="40" customHeight="1" s="95">
      <c r="A110" s="60" t="n"/>
      <c r="B110" s="60" t="inlineStr">
        <is>
          <t>완료</t>
        </is>
      </c>
      <c r="C110" s="60" t="inlineStr">
        <is>
          <t>재착공</t>
        </is>
      </c>
      <c r="D110" s="88" t="inlineStr">
        <is>
          <t>남울산노르웨이숲
(온양발리스타조합</t>
        </is>
      </c>
      <c r="E110" s="20" t="inlineStr">
        <is>
          <t>울주군</t>
        </is>
      </c>
      <c r="F110" s="16" t="inlineStr">
        <is>
          <t>울주군 온양읍 발리 538-11 일원</t>
        </is>
      </c>
      <c r="G110" s="26" t="n">
        <v>848</v>
      </c>
      <c r="H110" s="58" t="inlineStr">
        <is>
          <t>2026.6.</t>
        </is>
      </c>
      <c r="I110" s="57" t="n">
        <v>2026</v>
      </c>
      <c r="J110" s="57" t="n"/>
      <c r="K110" s="20" t="n">
        <v>0.15</v>
      </c>
      <c r="L110" s="96">
        <f>ROUNDDOWN(M113*25%,0)</f>
        <v/>
      </c>
      <c r="M110" s="99">
        <f>ROUNDDOWN(G113*K113,0)</f>
        <v/>
      </c>
      <c r="N110" s="97">
        <f>ROUND($G113*$K113/6,0)</f>
        <v/>
      </c>
      <c r="O110" s="97">
        <f>ROUND($G113*$K113/6,0)</f>
        <v/>
      </c>
      <c r="P110" s="97">
        <f>ROUND($G113*$K113/6,0)</f>
        <v/>
      </c>
      <c r="Q110" s="97">
        <f>ROUND($G113*$K113/6,0)</f>
        <v/>
      </c>
      <c r="R110" s="97">
        <f>ROUND($G113*$K113/6*50%,0)</f>
        <v/>
      </c>
      <c r="S110" s="97">
        <f>ROUND($G113*$K113/6*30%,0)</f>
        <v/>
      </c>
      <c r="T110" s="20" t="inlineStr">
        <is>
          <t>온남초 배치 가능</t>
        </is>
      </c>
      <c r="U110" s="0" t="n">
        <v>35.410345</v>
      </c>
      <c r="V110" s="0" t="n">
        <v>129.299136</v>
      </c>
    </row>
    <row r="111" ht="40" customHeight="1" s="95">
      <c r="A111" s="60" t="inlineStr">
        <is>
          <t>청량초 14m</t>
        </is>
      </c>
      <c r="B111" s="60" t="inlineStr">
        <is>
          <t>완료</t>
        </is>
      </c>
      <c r="C111" s="60" t="inlineStr">
        <is>
          <t>공사중지</t>
        </is>
      </c>
      <c r="D111" s="49" t="inlineStr">
        <is>
          <t>울산덕하역신일해피트리더루츠</t>
        </is>
      </c>
      <c r="E111" s="20" t="inlineStr">
        <is>
          <t>울주군</t>
        </is>
      </c>
      <c r="F111" s="30" t="inlineStr">
        <is>
          <t>울주군 청량읍 덕하리 409-9번지 일원</t>
        </is>
      </c>
      <c r="G111" s="26" t="n">
        <v>672</v>
      </c>
      <c r="H111" s="58" t="inlineStr">
        <is>
          <t>미정(공사중지)</t>
        </is>
      </c>
      <c r="I111" s="57" t="inlineStr">
        <is>
          <t>미정</t>
        </is>
      </c>
      <c r="J111" s="57" t="n">
        <v>2030</v>
      </c>
      <c r="K111" s="20" t="n">
        <v>0.13</v>
      </c>
      <c r="L111" s="96">
        <f>ROUNDDOWN(M114*25%,0)</f>
        <v/>
      </c>
      <c r="M111" s="99">
        <f>ROUNDDOWN(G114*K114,0)</f>
        <v/>
      </c>
      <c r="N111" s="97">
        <f>ROUND($G114*$K114/6,0)</f>
        <v/>
      </c>
      <c r="O111" s="97">
        <f>ROUND($G114*$K114/6,0)</f>
        <v/>
      </c>
      <c r="P111" s="97">
        <f>ROUND($G114*$K114/6,0)</f>
        <v/>
      </c>
      <c r="Q111" s="97">
        <f>ROUND($G114*$K114/6,0)</f>
        <v/>
      </c>
      <c r="R111" s="97">
        <f>ROUND($G114*$K114/6*50%,0)</f>
        <v/>
      </c>
      <c r="S111" s="97">
        <f>ROUND($G114*$K114/6*30%,0)</f>
        <v/>
      </c>
      <c r="T111" s="20" t="inlineStr">
        <is>
          <t>청량초 배치 가능</t>
        </is>
      </c>
      <c r="U111" s="0" t="n">
        <v>35.486971</v>
      </c>
      <c r="V111" s="0" t="n">
        <v>129.295892</v>
      </c>
    </row>
    <row r="112" ht="40" customHeight="1" s="95">
      <c r="A112" s="60" t="n"/>
      <c r="B112" s="60" t="n"/>
      <c r="C112" s="60" t="inlineStr">
        <is>
          <t>착공</t>
        </is>
      </c>
      <c r="D112" s="49" t="inlineStr">
        <is>
          <t>다운한양립스더퍼스트하임</t>
        </is>
      </c>
      <c r="E112" s="20" t="inlineStr">
        <is>
          <t>중구</t>
        </is>
      </c>
      <c r="F112" s="16" t="inlineStr">
        <is>
          <t>중구 다운동 741-2번지 일원</t>
        </is>
      </c>
      <c r="G112" s="26" t="n">
        <v>401</v>
      </c>
      <c r="H112" s="58" t="inlineStr">
        <is>
          <t>2026.1.</t>
        </is>
      </c>
      <c r="I112" s="57" t="n">
        <v>2026</v>
      </c>
      <c r="J112" s="57" t="n"/>
      <c r="K112" s="20" t="n">
        <v>0.18</v>
      </c>
      <c r="L112" s="96">
        <f>ROUNDDOWN(M115*25%,0)</f>
        <v/>
      </c>
      <c r="M112" s="99">
        <f>ROUNDDOWN(G115*K115,0)</f>
        <v/>
      </c>
      <c r="N112" s="97">
        <f>ROUND($G115*$K115/6,0)</f>
        <v/>
      </c>
      <c r="O112" s="97">
        <f>ROUND($G115*$K115/6,0)</f>
        <v/>
      </c>
      <c r="P112" s="97">
        <f>ROUND($G115*$K115/6,0)</f>
        <v/>
      </c>
      <c r="Q112" s="97">
        <f>ROUND($G115*$K115/6,0)</f>
        <v/>
      </c>
      <c r="R112" s="97">
        <f>ROUND($G115*$K115/6*50%,0)</f>
        <v/>
      </c>
      <c r="S112" s="97">
        <f>ROUND($G115*$K115/6*30%,0)</f>
        <v/>
      </c>
      <c r="T112" s="20" t="inlineStr">
        <is>
          <t>다전초 배치 가능</t>
        </is>
      </c>
      <c r="U112" s="0" t="n">
        <v>35.565085</v>
      </c>
      <c r="V112" s="0" t="n">
        <v>129.265434</v>
      </c>
    </row>
    <row r="113" ht="40" customHeight="1" s="95">
      <c r="A113" s="60" t="n"/>
      <c r="B113" s="60" t="n"/>
      <c r="C113" s="60" t="inlineStr">
        <is>
          <t>착공</t>
        </is>
      </c>
      <c r="D113" s="48" t="inlineStr">
        <is>
          <t>반구동 공공지원 민간임대주택 신축</t>
        </is>
      </c>
      <c r="E113" s="37" t="inlineStr">
        <is>
          <t>중구</t>
        </is>
      </c>
      <c r="F113" s="38" t="inlineStr">
        <is>
          <t>중구 반구동 447-19 일원</t>
        </is>
      </c>
      <c r="G113" s="37" t="n">
        <v>178</v>
      </c>
      <c r="H113" s="56" t="inlineStr">
        <is>
          <t>2023.6.~
2026.3.</t>
        </is>
      </c>
      <c r="I113" s="70" t="n">
        <v>2026</v>
      </c>
      <c r="J113" s="41" t="n"/>
      <c r="K113" s="37" t="n">
        <v>0.07000000000000001</v>
      </c>
      <c r="L113" s="96">
        <f>ROUNDDOWN(M116*25%,0)</f>
        <v/>
      </c>
      <c r="M113" s="99">
        <f>ROUNDDOWN(G116*K116,0)</f>
        <v/>
      </c>
      <c r="N113" s="97">
        <f>ROUND($G116*$K116/6,0)</f>
        <v/>
      </c>
      <c r="O113" s="97">
        <f>ROUND($G116*$K116/6,0)</f>
        <v/>
      </c>
      <c r="P113" s="97">
        <f>ROUND($G116*$K116/6,0)</f>
        <v/>
      </c>
      <c r="Q113" s="97">
        <f>ROUND($G116*$K116/6,0)</f>
        <v/>
      </c>
      <c r="R113" s="97">
        <f>ROUND($G116*$K116/6*50%,0)</f>
        <v/>
      </c>
      <c r="S113" s="97">
        <f>ROUND($G116*$K116/6*30%,0)</f>
        <v/>
      </c>
      <c r="T113" s="37" t="inlineStr">
        <is>
          <t>학성초 배치 가능</t>
        </is>
      </c>
      <c r="U113" s="0" t="n">
        <v>35.55788</v>
      </c>
      <c r="V113" s="0" t="n">
        <v>129.342454</v>
      </c>
    </row>
    <row r="114" ht="40" customFormat="1" customHeight="1" s="3">
      <c r="A114" s="60" t="inlineStr">
        <is>
          <t>내황초 25m
내황유 43m</t>
        </is>
      </c>
      <c r="B114" s="60" t="inlineStr">
        <is>
          <t>완료</t>
        </is>
      </c>
      <c r="C114" s="60" t="inlineStr">
        <is>
          <t>미착공</t>
        </is>
      </c>
      <c r="D114" s="49" t="inlineStr">
        <is>
          <t>태화강센트럴아이파크</t>
        </is>
      </c>
      <c r="E114" s="20" t="inlineStr">
        <is>
          <t>중구</t>
        </is>
      </c>
      <c r="F114" s="16" t="inlineStr">
        <is>
          <t>중구 반구동 554-5 일원</t>
        </is>
      </c>
      <c r="G114" s="26" t="n">
        <v>710</v>
      </c>
      <c r="H114" s="58" t="inlineStr">
        <is>
          <t>2027.~2028.</t>
        </is>
      </c>
      <c r="I114" s="57" t="n">
        <v>2028.7</v>
      </c>
      <c r="J114" s="57" t="n"/>
      <c r="K114" s="20" t="n">
        <v>0.17</v>
      </c>
      <c r="L114" s="96">
        <f>ROUNDDOWN(M117*25%,0)</f>
        <v/>
      </c>
      <c r="M114" s="99">
        <f>ROUNDDOWN(G117*K117,0)</f>
        <v/>
      </c>
      <c r="N114" s="97">
        <f>ROUND($G117*$K117/6,0)</f>
        <v/>
      </c>
      <c r="O114" s="97">
        <f>ROUND($G117*$K117/6,0)</f>
        <v/>
      </c>
      <c r="P114" s="97">
        <f>ROUND($G117*$K117/6,0)</f>
        <v/>
      </c>
      <c r="Q114" s="97">
        <f>ROUND($G117*$K117/6,0)</f>
        <v/>
      </c>
      <c r="R114" s="97">
        <f>ROUND($G117*$K117/6*50%,0)</f>
        <v/>
      </c>
      <c r="S114" s="97">
        <f>ROUND($G117*$K117/6*30%,0)</f>
        <v/>
      </c>
      <c r="T114" s="20" t="inlineStr">
        <is>
          <t>내황초 배치 가능</t>
        </is>
      </c>
      <c r="U114" s="0" t="n">
        <v>35.552072</v>
      </c>
      <c r="V114" s="0" t="n">
        <v>129.347204</v>
      </c>
    </row>
    <row r="115" ht="40" customHeight="1" s="95">
      <c r="A115" s="60" t="inlineStr">
        <is>
          <t>울산중 18m</t>
        </is>
      </c>
      <c r="B115" s="60" t="inlineStr">
        <is>
          <t>완료</t>
        </is>
      </c>
      <c r="C115" s="60" t="inlineStr">
        <is>
          <t>미착공</t>
        </is>
      </c>
      <c r="D115" s="51" t="inlineStr">
        <is>
          <t>중구 복산동 650-1아파트(1단지)</t>
        </is>
      </c>
      <c r="E115" s="20" t="inlineStr">
        <is>
          <t>중구</t>
        </is>
      </c>
      <c r="F115" s="16" t="inlineStr">
        <is>
          <t>중구 복산동 650-1 일원</t>
        </is>
      </c>
      <c r="G115" s="26" t="n">
        <v>441</v>
      </c>
      <c r="H115" s="58" t="inlineStr">
        <is>
          <t>2026.8.
→ 2028.이후</t>
        </is>
      </c>
      <c r="I115" s="57" t="n">
        <v>2028</v>
      </c>
      <c r="J115" s="85" t="n"/>
      <c r="K115" s="20" t="n">
        <v>0.15</v>
      </c>
      <c r="L115" s="96">
        <f>ROUNDDOWN(M118*25%,0)</f>
        <v/>
      </c>
      <c r="M115" s="99">
        <f>ROUNDDOWN(G118*K118,0)</f>
        <v/>
      </c>
      <c r="N115" s="97">
        <f>ROUND($G118*$K118/6,0)</f>
        <v/>
      </c>
      <c r="O115" s="97">
        <f>ROUND($G118*$K118/6,0)</f>
        <v/>
      </c>
      <c r="P115" s="97">
        <f>ROUND($G118*$K118/6,0)</f>
        <v/>
      </c>
      <c r="Q115" s="97">
        <f>ROUND($G118*$K118/6,0)</f>
        <v/>
      </c>
      <c r="R115" s="97">
        <f>ROUND($G118*$K118/6*50%,0)</f>
        <v/>
      </c>
      <c r="S115" s="97">
        <f>ROUND($G118*$K118/6*30%,0)</f>
        <v/>
      </c>
      <c r="T115" s="20" t="inlineStr">
        <is>
          <t>복산초 11실 증축</t>
        </is>
      </c>
      <c r="U115" s="0" t="n">
        <v>35.564494</v>
      </c>
      <c r="V115" s="0" t="n">
        <v>129.325956</v>
      </c>
    </row>
    <row r="116" ht="40" customHeight="1" s="95">
      <c r="A116" s="53" t="inlineStr">
        <is>
          <t>울산중 22m
성신고 47m</t>
        </is>
      </c>
      <c r="B116" s="60" t="inlineStr">
        <is>
          <t>완료</t>
        </is>
      </c>
      <c r="C116" s="60" t="inlineStr">
        <is>
          <t>미착공</t>
        </is>
      </c>
      <c r="D116" s="51" t="inlineStr">
        <is>
          <t>중구 복산동 지역주택조합 아파트(2단지)</t>
        </is>
      </c>
      <c r="E116" s="20" t="inlineStr">
        <is>
          <t>중구</t>
        </is>
      </c>
      <c r="F116" s="16" t="inlineStr">
        <is>
          <t>중구 복산동 658-4 일원</t>
        </is>
      </c>
      <c r="G116" s="26" t="n">
        <v>439</v>
      </c>
      <c r="H116" s="58" t="inlineStr">
        <is>
          <t>2026.8.
→ 2028.이후</t>
        </is>
      </c>
      <c r="I116" s="57" t="n">
        <v>2028</v>
      </c>
      <c r="J116" s="85" t="n"/>
      <c r="K116" s="20" t="n">
        <v>0.15</v>
      </c>
      <c r="L116" s="96">
        <f>ROUNDDOWN(M119*25%,0)</f>
        <v/>
      </c>
      <c r="M116" s="99">
        <f>ROUNDDOWN(G119*K119,0)</f>
        <v/>
      </c>
      <c r="N116" s="97">
        <f>ROUND($G119*$K119/6,0)</f>
        <v/>
      </c>
      <c r="O116" s="97">
        <f>ROUND($G119*$K119/6,0)</f>
        <v/>
      </c>
      <c r="P116" s="97">
        <f>ROUND($G119*$K119/6,0)</f>
        <v/>
      </c>
      <c r="Q116" s="97">
        <f>ROUND($G119*$K119/6,0)</f>
        <v/>
      </c>
      <c r="R116" s="97">
        <f>ROUND($G119*$K119/6*50%,0)</f>
        <v/>
      </c>
      <c r="S116" s="97">
        <f>ROUND($G119*$K119/6*30%,0)</f>
        <v/>
      </c>
      <c r="T116" s="20" t="inlineStr">
        <is>
          <t>복산초 11실 증축</t>
        </is>
      </c>
      <c r="U116" s="0" t="n">
        <v>35.563776</v>
      </c>
      <c r="V116" s="0" t="n">
        <v>129.324985</v>
      </c>
    </row>
    <row r="117" ht="40" customHeight="1" s="95">
      <c r="A117" s="60" t="n"/>
      <c r="B117" s="60" t="n"/>
      <c r="C117" s="60" t="inlineStr">
        <is>
          <t>미착공</t>
        </is>
      </c>
      <c r="D117" s="48" t="inlineStr">
        <is>
          <t>성남동 219-77 일원 주상복합</t>
        </is>
      </c>
      <c r="E117" s="37" t="inlineStr">
        <is>
          <t>중구</t>
        </is>
      </c>
      <c r="F117" s="38" t="inlineStr">
        <is>
          <t>중구 성남동 219-77 일원</t>
        </is>
      </c>
      <c r="G117" s="37" t="n">
        <v>298</v>
      </c>
      <c r="H117" s="54" t="inlineStr">
        <is>
          <t>2026.8.이후</t>
        </is>
      </c>
      <c r="I117" s="57" t="inlineStr">
        <is>
          <t>지연예정</t>
        </is>
      </c>
      <c r="J117" s="70" t="n">
        <v>2028</v>
      </c>
      <c r="K117" s="37" t="n">
        <v>0.05</v>
      </c>
      <c r="L117" s="96">
        <f>ROUNDDOWN(M120*25%,0)</f>
        <v/>
      </c>
      <c r="M117" s="99">
        <f>ROUNDDOWN(G120*K120,0)</f>
        <v/>
      </c>
      <c r="N117" s="97">
        <f>ROUND($G120*$K120/6,0)</f>
        <v/>
      </c>
      <c r="O117" s="97">
        <f>ROUND($G120*$K120/6,0)</f>
        <v/>
      </c>
      <c r="P117" s="97">
        <f>ROUND($G120*$K120/6,0)</f>
        <v/>
      </c>
      <c r="Q117" s="97">
        <f>ROUND($G120*$K120/6,0)</f>
        <v/>
      </c>
      <c r="R117" s="97">
        <f>ROUND($G120*$K120/6*50%,0)</f>
        <v/>
      </c>
      <c r="S117" s="97">
        <f>ROUND($G120*$K120/6*30%,0)</f>
        <v/>
      </c>
      <c r="T117" s="37" t="inlineStr">
        <is>
          <t>양사초 배치 가능</t>
        </is>
      </c>
      <c r="U117" s="0" t="n">
        <v>35.554398</v>
      </c>
      <c r="V117" s="0" t="n">
        <v>129.319103</v>
      </c>
    </row>
    <row r="118" ht="40" customHeight="1" s="95">
      <c r="A118" s="60" t="n"/>
      <c r="B118" s="60" t="n"/>
      <c r="C118" s="60" t="inlineStr">
        <is>
          <t>미착공</t>
        </is>
      </c>
      <c r="D118" s="51" t="inlineStr">
        <is>
          <t>옥교동 224 일원 주거복합</t>
        </is>
      </c>
      <c r="E118" s="20" t="inlineStr">
        <is>
          <t>중구</t>
        </is>
      </c>
      <c r="F118" s="16" t="inlineStr">
        <is>
          <t>중구 옥교동 224 일원</t>
        </is>
      </c>
      <c r="G118" s="26" t="n">
        <v>300</v>
      </c>
      <c r="H118" s="58" t="inlineStr">
        <is>
          <t>2027.9.이후</t>
        </is>
      </c>
      <c r="I118" s="57" t="inlineStr">
        <is>
          <t>지연예정</t>
        </is>
      </c>
      <c r="J118" s="70" t="n">
        <v>2028</v>
      </c>
      <c r="K118" s="20" t="n">
        <v>0.12</v>
      </c>
      <c r="L118" s="96">
        <f>ROUNDDOWN(M121*25%,0)</f>
        <v/>
      </c>
      <c r="M118" s="99">
        <f>ROUNDDOWN(G121*K121,0)</f>
        <v/>
      </c>
      <c r="N118" s="97">
        <f>ROUND($G121*$K121/6,0)</f>
        <v/>
      </c>
      <c r="O118" s="97">
        <f>ROUND($G121*$K121/6,0)</f>
        <v/>
      </c>
      <c r="P118" s="97">
        <f>ROUND($G121*$K121/6,0)</f>
        <v/>
      </c>
      <c r="Q118" s="97">
        <f>ROUND($G121*$K121/6,0)</f>
        <v/>
      </c>
      <c r="R118" s="97">
        <f>ROUND($G121*$K121/6*50%,0)</f>
        <v/>
      </c>
      <c r="S118" s="97">
        <f>ROUND($G121*$K121/6*30%,0)</f>
        <v/>
      </c>
      <c r="T118" s="20" t="inlineStr">
        <is>
          <t>복산초 11실 증축</t>
        </is>
      </c>
      <c r="U118" s="0" t="n">
        <v>35.556098</v>
      </c>
      <c r="V118" s="0" t="n">
        <v>129.322611</v>
      </c>
    </row>
    <row r="119" ht="40" customFormat="1" customHeight="1" s="10">
      <c r="A119" s="60" t="n"/>
      <c r="B119" s="60" t="inlineStr">
        <is>
          <t>완료</t>
        </is>
      </c>
      <c r="C119" s="60" t="inlineStr">
        <is>
          <t>미착공</t>
        </is>
      </c>
      <c r="D119" s="49" t="inlineStr">
        <is>
          <t>우정동 112번지 일원 공동주택
(쌍용더플래티넘)</t>
        </is>
      </c>
      <c r="E119" s="15" t="inlineStr">
        <is>
          <t>중구</t>
        </is>
      </c>
      <c r="F119" s="16" t="inlineStr">
        <is>
          <t>중구 우정동 112번지 일원</t>
        </is>
      </c>
      <c r="G119" s="26" t="n">
        <v>384</v>
      </c>
      <c r="H119" s="58" t="inlineStr">
        <is>
          <t>2027.2.이후</t>
        </is>
      </c>
      <c r="I119" s="57" t="inlineStr">
        <is>
          <t>지연예정</t>
        </is>
      </c>
      <c r="J119" s="70" t="n">
        <v>2028</v>
      </c>
      <c r="K119" s="20" t="n">
        <v>0.12</v>
      </c>
      <c r="L119" s="96">
        <f>ROUNDDOWN(M122*25%,0)</f>
        <v/>
      </c>
      <c r="M119" s="99">
        <f>ROUNDDOWN(G122*K122,0)</f>
        <v/>
      </c>
      <c r="N119" s="97">
        <f>ROUND($G122*$K122/6,0)</f>
        <v/>
      </c>
      <c r="O119" s="97">
        <f>ROUND($G122*$K122/6,0)</f>
        <v/>
      </c>
      <c r="P119" s="97">
        <f>ROUND($G122*$K122/6,0)</f>
        <v/>
      </c>
      <c r="Q119" s="97">
        <f>ROUND($G122*$K122/6,0)</f>
        <v/>
      </c>
      <c r="R119" s="97">
        <f>ROUND($G122*$K122/6*50%,0)</f>
        <v/>
      </c>
      <c r="S119" s="97">
        <f>ROUND($G122*$K122/6*30%,0)</f>
        <v/>
      </c>
      <c r="T119" s="20" t="inlineStr">
        <is>
          <t>양사초 배치 불가
(증축)</t>
        </is>
      </c>
      <c r="U119" s="0" t="n">
        <v>35.553555</v>
      </c>
      <c r="V119" s="0" t="n">
        <v>129.313553</v>
      </c>
    </row>
    <row r="120" ht="40" customHeight="1" s="95">
      <c r="A120" s="60" t="n"/>
      <c r="B120" s="60" t="inlineStr">
        <is>
          <t>완료</t>
        </is>
      </c>
      <c r="C120" s="60" t="inlineStr">
        <is>
          <t>착공후 미분양</t>
        </is>
      </c>
      <c r="D120" s="49" t="inlineStr">
        <is>
          <t>우정동한양립스더센트럴</t>
        </is>
      </c>
      <c r="E120" s="15" t="inlineStr">
        <is>
          <t>중구</t>
        </is>
      </c>
      <c r="F120" s="16" t="inlineStr">
        <is>
          <t>중구 우정동 272-2 일원</t>
        </is>
      </c>
      <c r="G120" s="26" t="n">
        <v>531</v>
      </c>
      <c r="H120" s="58" t="inlineStr">
        <is>
          <t>2026.4.</t>
        </is>
      </c>
      <c r="I120" s="57" t="n">
        <v>2026</v>
      </c>
      <c r="J120" s="57" t="n"/>
      <c r="K120" s="20" t="n">
        <v>0.12</v>
      </c>
      <c r="L120" s="96">
        <f>ROUNDDOWN(M123*25%,0)</f>
        <v/>
      </c>
      <c r="M120" s="99">
        <f>ROUNDDOWN(G123*K123,0)</f>
        <v/>
      </c>
      <c r="N120" s="97">
        <f>ROUND($G123*$K123/6,0)</f>
        <v/>
      </c>
      <c r="O120" s="97">
        <f>ROUND($G123*$K123/6,0)</f>
        <v/>
      </c>
      <c r="P120" s="97">
        <f>ROUND($G123*$K123/6,0)</f>
        <v/>
      </c>
      <c r="Q120" s="97">
        <f>ROUND($G123*$K123/6,0)</f>
        <v/>
      </c>
      <c r="R120" s="97">
        <f>ROUND($G123*$K123/6*50%,0)</f>
        <v/>
      </c>
      <c r="S120" s="97">
        <f>ROUND($G123*$K123/6*30%,0)</f>
        <v/>
      </c>
      <c r="T120" s="20" t="inlineStr">
        <is>
          <t>양사초 배치 가능</t>
        </is>
      </c>
      <c r="U120" s="0" t="n">
        <v>35.556704</v>
      </c>
      <c r="V120" s="0" t="n">
        <v>129.312496</v>
      </c>
    </row>
    <row r="121" ht="40" customHeight="1" s="95">
      <c r="A121" s="60" t="n"/>
      <c r="B121" s="60" t="inlineStr">
        <is>
          <t>완료</t>
        </is>
      </c>
      <c r="C121" s="60" t="inlineStr">
        <is>
          <t>착공</t>
        </is>
      </c>
      <c r="D121" s="49" t="inlineStr">
        <is>
          <t>울산우정에피트</t>
        </is>
      </c>
      <c r="E121" s="15" t="inlineStr">
        <is>
          <t>중구</t>
        </is>
      </c>
      <c r="F121" s="16" t="inlineStr">
        <is>
          <t>중구 우정동 274-60 일원</t>
        </is>
      </c>
      <c r="G121" s="26" t="n">
        <v>533</v>
      </c>
      <c r="H121" s="58" t="inlineStr">
        <is>
          <t>2027.1.</t>
        </is>
      </c>
      <c r="I121" s="57" t="n">
        <v>2027</v>
      </c>
      <c r="J121" s="57" t="n"/>
      <c r="K121" s="20" t="n">
        <v>0.12</v>
      </c>
      <c r="L121" s="96">
        <f>ROUNDDOWN(M124*25%,0)</f>
        <v/>
      </c>
      <c r="M121" s="99">
        <f>ROUNDDOWN(G124*K124,0)</f>
        <v/>
      </c>
      <c r="N121" s="97">
        <f>ROUND($G124*$K124/6,0)</f>
        <v/>
      </c>
      <c r="O121" s="97">
        <f>ROUND($G124*$K124/6,0)</f>
        <v/>
      </c>
      <c r="P121" s="97">
        <f>ROUND($G124*$K124/6,0)</f>
        <v/>
      </c>
      <c r="Q121" s="97">
        <f>ROUND($G124*$K124/6,0)</f>
        <v/>
      </c>
      <c r="R121" s="97">
        <f>ROUND($G124*$K124/6*50%,0)</f>
        <v/>
      </c>
      <c r="S121" s="97">
        <f>ROUND($G124*$K124/6*30%,0)</f>
        <v/>
      </c>
      <c r="T121" s="20" t="inlineStr">
        <is>
          <t>양사초 배치 가능</t>
        </is>
      </c>
      <c r="U121" s="0" t="n">
        <v>35.556102</v>
      </c>
      <c r="V121" s="0" t="n">
        <v>129.314637</v>
      </c>
    </row>
    <row r="122" ht="40" customHeight="1" s="95">
      <c r="A122" s="60" t="n"/>
      <c r="B122" s="60" t="inlineStr">
        <is>
          <t>완료</t>
        </is>
      </c>
      <c r="C122" s="60" t="inlineStr">
        <is>
          <t>미착공</t>
        </is>
      </c>
      <c r="D122" s="51" t="inlineStr">
        <is>
          <t>우정동 275-30 공동주택(8지구)</t>
        </is>
      </c>
      <c r="E122" s="15" t="inlineStr">
        <is>
          <t>중구</t>
        </is>
      </c>
      <c r="F122" s="16" t="inlineStr">
        <is>
          <t>중구 우정동 275-30번지 일원</t>
        </is>
      </c>
      <c r="G122" s="26" t="n">
        <v>458</v>
      </c>
      <c r="H122" s="58" t="inlineStr">
        <is>
          <t>2029.6.30.이후</t>
        </is>
      </c>
      <c r="I122" s="57" t="inlineStr">
        <is>
          <t>지연예정</t>
        </is>
      </c>
      <c r="J122" s="57" t="n">
        <v>2028</v>
      </c>
      <c r="K122" s="20" t="n">
        <v>0.12</v>
      </c>
      <c r="L122" s="96">
        <f>ROUNDDOWN(M125*25%,0)</f>
        <v/>
      </c>
      <c r="M122" s="99">
        <f>ROUNDDOWN(G125*K125,0)</f>
        <v/>
      </c>
      <c r="N122" s="97">
        <f>ROUND($G125*$K125/6,0)</f>
        <v/>
      </c>
      <c r="O122" s="97">
        <f>ROUND($G125*$K125/6,0)</f>
        <v/>
      </c>
      <c r="P122" s="97">
        <f>ROUND($G125*$K125/6,0)</f>
        <v/>
      </c>
      <c r="Q122" s="97">
        <f>ROUND($G125*$K125/6,0)</f>
        <v/>
      </c>
      <c r="R122" s="97">
        <f>ROUND($G125*$K125/6*50%,0)</f>
        <v/>
      </c>
      <c r="S122" s="97">
        <f>ROUND($G125*$K125/6*30%,0)</f>
        <v/>
      </c>
      <c r="T122" s="20" t="inlineStr">
        <is>
          <t>양사초 배치 불가
(증축)</t>
        </is>
      </c>
      <c r="U122" s="0" t="n">
        <v>35.554887</v>
      </c>
      <c r="V122" s="0" t="n">
        <v>129.314221</v>
      </c>
    </row>
    <row r="123" ht="40" customHeight="1" s="95">
      <c r="A123" s="60" t="n"/>
      <c r="B123" s="60" t="inlineStr">
        <is>
          <t>완료</t>
        </is>
      </c>
      <c r="C123" s="60" t="inlineStr">
        <is>
          <t>미착공</t>
        </is>
      </c>
      <c r="D123" s="51" t="inlineStr">
        <is>
          <t>우정동 276-34 공동주택(7지구)</t>
        </is>
      </c>
      <c r="E123" s="15" t="inlineStr">
        <is>
          <t>중구</t>
        </is>
      </c>
      <c r="F123" s="16" t="inlineStr">
        <is>
          <t>중구 우정동 276-34번지 일원</t>
        </is>
      </c>
      <c r="G123" s="26" t="n">
        <v>450</v>
      </c>
      <c r="H123" s="58" t="inlineStr">
        <is>
          <t>2029.12.31.이후</t>
        </is>
      </c>
      <c r="I123" s="57" t="inlineStr">
        <is>
          <t>지연예정</t>
        </is>
      </c>
      <c r="J123" s="57" t="n">
        <v>2028</v>
      </c>
      <c r="K123" s="20" t="n">
        <v>0.12</v>
      </c>
      <c r="L123" s="96">
        <f>ROUNDDOWN(M126*25%,0)</f>
        <v/>
      </c>
      <c r="M123" s="99">
        <f>ROUNDDOWN(G126*K126,0)</f>
        <v/>
      </c>
      <c r="N123" s="97">
        <f>ROUND($G126*$K126/6,0)</f>
        <v/>
      </c>
      <c r="O123" s="97">
        <f>ROUND($G126*$K126/6,0)</f>
        <v/>
      </c>
      <c r="P123" s="97">
        <f>ROUND($G126*$K126/6,0)</f>
        <v/>
      </c>
      <c r="Q123" s="97">
        <f>ROUND($G126*$K126/6,0)</f>
        <v/>
      </c>
      <c r="R123" s="97">
        <f>ROUND($G126*$K126/6*50%,0)</f>
        <v/>
      </c>
      <c r="S123" s="97">
        <f>ROUND($G126*$K126/6*30%,0)</f>
        <v/>
      </c>
      <c r="T123" s="20" t="inlineStr">
        <is>
          <t>양사초 배치 불가
(증축)</t>
        </is>
      </c>
      <c r="U123" s="0" t="n">
        <v>35.553977</v>
      </c>
      <c r="V123" s="0" t="n">
        <v>129.314658</v>
      </c>
    </row>
    <row r="124" ht="40" customHeight="1" s="95">
      <c r="A124" s="60" t="n"/>
      <c r="B124" s="60" t="n"/>
      <c r="C124" s="60" t="inlineStr">
        <is>
          <t>미착공</t>
        </is>
      </c>
      <c r="D124" s="51" t="inlineStr">
        <is>
          <t>우정동 52번지 공동주택(6지구)</t>
        </is>
      </c>
      <c r="E124" s="15" t="inlineStr">
        <is>
          <t>중구</t>
        </is>
      </c>
      <c r="F124" s="16" t="inlineStr">
        <is>
          <t>중구 우정동 52번지 일원</t>
        </is>
      </c>
      <c r="G124" s="26" t="n">
        <v>532</v>
      </c>
      <c r="H124" s="58" t="inlineStr">
        <is>
          <t>2027.2.
→ 2028.2.이후</t>
        </is>
      </c>
      <c r="I124" s="57" t="inlineStr">
        <is>
          <t>지연예정</t>
        </is>
      </c>
      <c r="J124" s="57" t="n">
        <v>2028</v>
      </c>
      <c r="K124" s="20" t="n">
        <v>0.12</v>
      </c>
      <c r="L124" s="96">
        <f>ROUNDDOWN(M127*25%,0)</f>
        <v/>
      </c>
      <c r="M124" s="99">
        <f>ROUNDDOWN(G127*K127,0)</f>
        <v/>
      </c>
      <c r="N124" s="97">
        <f>ROUND($G127*$K127/6,0)</f>
        <v/>
      </c>
      <c r="O124" s="97">
        <f>ROUND($G127*$K127/6,0)</f>
        <v/>
      </c>
      <c r="P124" s="97">
        <f>ROUND($G127*$K127/6,0)</f>
        <v/>
      </c>
      <c r="Q124" s="97">
        <f>ROUND($G127*$K127/6,0)</f>
        <v/>
      </c>
      <c r="R124" s="97">
        <f>ROUND($G127*$K127/6*50%,0)</f>
        <v/>
      </c>
      <c r="S124" s="97">
        <f>ROUND($G127*$K127/6*30%,0)</f>
        <v/>
      </c>
      <c r="T124" s="20" t="inlineStr">
        <is>
          <t>양사초 배치 불가
(증축)</t>
        </is>
      </c>
      <c r="U124" s="0" t="n">
        <v>35.555434</v>
      </c>
      <c r="V124" s="0" t="n">
        <v>129.315841</v>
      </c>
    </row>
    <row r="125" ht="40" customHeight="1" s="95">
      <c r="A125" s="60" t="inlineStr">
        <is>
          <t>정인유 42m</t>
        </is>
      </c>
      <c r="B125" s="60" t="inlineStr">
        <is>
          <t>완료</t>
        </is>
      </c>
      <c r="C125" s="60" t="inlineStr">
        <is>
          <t>착공</t>
        </is>
      </c>
      <c r="D125" s="49" t="inlineStr">
        <is>
          <t>더폴우정</t>
        </is>
      </c>
      <c r="E125" s="15" t="inlineStr">
        <is>
          <t>중구</t>
        </is>
      </c>
      <c r="F125" s="16" t="inlineStr">
        <is>
          <t>중구 우정동 92-1 일원</t>
        </is>
      </c>
      <c r="G125" s="26" t="n">
        <v>318</v>
      </c>
      <c r="H125" s="58" t="inlineStr">
        <is>
          <t>2029.5.이후</t>
        </is>
      </c>
      <c r="I125" s="57" t="n">
        <v>2029</v>
      </c>
      <c r="J125" s="57" t="n"/>
      <c r="K125" s="20" t="n">
        <v>0.12</v>
      </c>
      <c r="L125" s="96">
        <f>ROUNDDOWN(M128*25%,0)</f>
        <v/>
      </c>
      <c r="M125" s="99">
        <f>ROUNDDOWN(G128*K128,0)</f>
        <v/>
      </c>
      <c r="N125" s="97">
        <f>ROUND($G128*$K128/6,0)</f>
        <v/>
      </c>
      <c r="O125" s="97">
        <f>ROUND($G128*$K128/6,0)</f>
        <v/>
      </c>
      <c r="P125" s="97">
        <f>ROUND($G128*$K128/6,0)</f>
        <v/>
      </c>
      <c r="Q125" s="97">
        <f>ROUND($G128*$K128/6,0)</f>
        <v/>
      </c>
      <c r="R125" s="97">
        <f>ROUND($G128*$K128/6*50%,0)</f>
        <v/>
      </c>
      <c r="S125" s="97">
        <f>ROUND($G128*$K128/6*30%,0)</f>
        <v/>
      </c>
      <c r="T125" s="20" t="inlineStr">
        <is>
          <t>양사초 배치 가능</t>
        </is>
      </c>
      <c r="U125" s="0" t="n">
        <v>35.554422</v>
      </c>
      <c r="V125" s="0" t="n">
        <v>129.313143</v>
      </c>
    </row>
    <row r="126" ht="40" customHeight="1" s="95">
      <c r="A126" s="60" t="n"/>
      <c r="B126" s="60" t="n"/>
      <c r="C126" s="60" t="inlineStr">
        <is>
          <t>착공</t>
        </is>
      </c>
      <c r="D126" s="49" t="inlineStr">
        <is>
          <t>번영로롯데캐슬센트럴스카이</t>
        </is>
      </c>
      <c r="E126" s="15" t="inlineStr">
        <is>
          <t>중구</t>
        </is>
      </c>
      <c r="F126" s="16" t="inlineStr">
        <is>
          <t>중구 학산동 167-4번지 일원</t>
        </is>
      </c>
      <c r="G126" s="26" t="n">
        <v>676</v>
      </c>
      <c r="H126" s="58" t="inlineStr">
        <is>
          <t>2028.11.</t>
        </is>
      </c>
      <c r="I126" s="57" t="n">
        <v>2028</v>
      </c>
      <c r="J126" s="80" t="n"/>
      <c r="K126" s="20" t="n">
        <v>0.12</v>
      </c>
      <c r="L126" s="96">
        <f>ROUNDDOWN(M129*25%,0)</f>
        <v/>
      </c>
      <c r="M126" s="99">
        <f>ROUNDDOWN(G129*K129,0)</f>
        <v/>
      </c>
      <c r="N126" s="97">
        <f>ROUND($G129*$K129/6,0)</f>
        <v/>
      </c>
      <c r="O126" s="97">
        <f>ROUND($G129*$K129/6,0)</f>
        <v/>
      </c>
      <c r="P126" s="97">
        <f>ROUND($G129*$K129/6,0)</f>
        <v/>
      </c>
      <c r="Q126" s="97">
        <f>ROUND($G129*$K129/6,0)</f>
        <v/>
      </c>
      <c r="R126" s="97">
        <f>ROUND($G129*$K129/6*50%,0)</f>
        <v/>
      </c>
      <c r="S126" s="97">
        <f>ROUND($G129*$K129/6*30%,0)</f>
        <v/>
      </c>
      <c r="T126" s="20" t="inlineStr">
        <is>
          <t>복산초 11실 증축</t>
        </is>
      </c>
      <c r="U126" s="0" t="n">
        <v>35.557001</v>
      </c>
      <c r="V126" s="0" t="n">
        <v>129.325122</v>
      </c>
    </row>
    <row r="127" ht="40" customHeight="1" s="95">
      <c r="A127" s="60" t="inlineStr">
        <is>
          <t>옥성초 6m</t>
        </is>
      </c>
      <c r="B127" s="60" t="n"/>
      <c r="C127" s="60" t="inlineStr">
        <is>
          <t>미착공</t>
        </is>
      </c>
      <c r="D127" s="52" t="inlineStr">
        <is>
          <t>학성동 188-1 주상복합</t>
        </is>
      </c>
      <c r="E127" s="37" t="inlineStr">
        <is>
          <t>중구</t>
        </is>
      </c>
      <c r="F127" s="36" t="inlineStr">
        <is>
          <t>중구 학성동 188-1 일원</t>
        </is>
      </c>
      <c r="G127" s="26" t="n">
        <v>72</v>
      </c>
      <c r="H127" s="73" t="inlineStr">
        <is>
          <t>2022.10.~
2026.5.이후</t>
        </is>
      </c>
      <c r="I127" s="57" t="inlineStr">
        <is>
          <t>지연예정</t>
        </is>
      </c>
      <c r="J127" s="57" t="n">
        <v>2028</v>
      </c>
      <c r="K127" s="35" t="n">
        <v>0.1</v>
      </c>
      <c r="L127" s="96">
        <f>ROUNDDOWN(M130*25%,0)</f>
        <v/>
      </c>
      <c r="M127" s="96">
        <f>ROUNDDOWN(G130*K130,0)</f>
        <v/>
      </c>
      <c r="N127" s="97">
        <f>ROUND($G130*$K130/6,0)</f>
        <v/>
      </c>
      <c r="O127" s="97">
        <f>ROUND($G130*$K130/6,0)</f>
        <v/>
      </c>
      <c r="P127" s="97">
        <f>ROUND($G130*$K130/6,0)</f>
        <v/>
      </c>
      <c r="Q127" s="97">
        <f>ROUND($G130*$K130/6,0)</f>
        <v/>
      </c>
      <c r="R127" s="97">
        <f>ROUND($G130*$K130/6*50%,0)</f>
        <v/>
      </c>
      <c r="S127" s="97">
        <f>ROUND($G130*$K130/6*30%,0)</f>
        <v/>
      </c>
      <c r="T127" s="35" t="inlineStr">
        <is>
          <t>옥성초 배치 가능</t>
        </is>
      </c>
      <c r="U127" s="0" t="n">
        <v>35.552141</v>
      </c>
      <c r="V127" s="0" t="n">
        <v>129.334268</v>
      </c>
    </row>
    <row r="128" ht="40" customHeight="1" s="95">
      <c r="A128" s="60" t="inlineStr">
        <is>
          <t>함월초 0m
울산유 15m</t>
        </is>
      </c>
      <c r="B128" s="60" t="inlineStr">
        <is>
          <t>완료</t>
        </is>
      </c>
      <c r="C128" s="60" t="inlineStr">
        <is>
          <t>착공</t>
        </is>
      </c>
      <c r="D128" s="49" t="inlineStr">
        <is>
          <t>더샵시에르네</t>
        </is>
      </c>
      <c r="E128" s="20" t="inlineStr">
        <is>
          <t>중구</t>
        </is>
      </c>
      <c r="F128" s="16" t="inlineStr">
        <is>
          <t>중구 학성동 397-1번지 일원</t>
        </is>
      </c>
      <c r="G128" s="26" t="n">
        <v>788</v>
      </c>
      <c r="H128" s="58" t="inlineStr">
        <is>
          <t>2022.3.2~2027.3.31.</t>
        </is>
      </c>
      <c r="I128" s="57" t="n">
        <v>2027</v>
      </c>
      <c r="J128" s="57" t="n"/>
      <c r="K128" s="20" t="n">
        <v>0.2</v>
      </c>
      <c r="L128" s="96">
        <f>ROUNDDOWN(M131*25%,0)</f>
        <v/>
      </c>
      <c r="M128" s="99">
        <f>ROUNDDOWN(G131*K131,0)</f>
        <v/>
      </c>
      <c r="N128" s="97">
        <f>ROUND($G131*$K131/6,0)</f>
        <v/>
      </c>
      <c r="O128" s="97">
        <f>ROUND($G131*$K131/6,0)</f>
        <v/>
      </c>
      <c r="P128" s="97">
        <f>ROUND($G131*$K131/6,0)</f>
        <v/>
      </c>
      <c r="Q128" s="97">
        <f>ROUND($G131*$K131/6,0)</f>
        <v/>
      </c>
      <c r="R128" s="97">
        <f>ROUND($G131*$K131/6*50%,0)</f>
        <v/>
      </c>
      <c r="S128" s="97">
        <f>ROUND($G131*$K131/6*30%,0)</f>
        <v/>
      </c>
      <c r="T128" s="20" t="inlineStr">
        <is>
          <t>함월초 배치 가능</t>
        </is>
      </c>
      <c r="U128" s="0" t="n">
        <v>35.560313</v>
      </c>
      <c r="V128" s="0" t="n">
        <v>129.331296</v>
      </c>
    </row>
    <row r="129" ht="40" customHeight="1" s="95">
      <c r="A129" s="45" t="n"/>
      <c r="B129" s="45" t="n"/>
      <c r="C129" s="45" t="n"/>
      <c r="D129" s="37" t="n"/>
      <c r="E129" s="37" t="n"/>
      <c r="F129" s="38" t="n"/>
      <c r="G129" s="37" t="n"/>
      <c r="H129" s="37" t="n"/>
      <c r="I129" s="46" t="n"/>
      <c r="J129" s="46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0" t="n">
        <v>35.5568821</v>
      </c>
      <c r="V129" s="0" t="n">
        <v>129.3248845</v>
      </c>
    </row>
    <row r="130" ht="40" customHeight="1" s="95">
      <c r="U130" s="0" t="n">
        <v>35.5523773</v>
      </c>
      <c r="V130" s="0" t="n">
        <v>129.33386</v>
      </c>
    </row>
    <row r="131" ht="40" customHeight="1" s="95">
      <c r="U131" s="0" t="n">
        <v>35.558801</v>
      </c>
      <c r="V131" s="0" t="n">
        <v>129.3327696</v>
      </c>
    </row>
    <row r="132" ht="40" customHeight="1" s="95"/>
  </sheetData>
  <mergeCells count="1">
    <mergeCell ref="C1:T1"/>
  </mergeCells>
  <printOptions horizontalCentered="1"/>
  <pageMargins left="0.6299212598425197" right="0.4330708661417323" top="0.5511811023622047" bottom="0.5511811023622047" header="0.3149606299212598" footer="0"/>
  <pageSetup orientation="landscape" paperSize="9" scale="60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USER;박지훈</dc:creator>
  <dcterms:created xsi:type="dcterms:W3CDTF">2022-01-04T08:02:54Z</dcterms:created>
  <dcterms:modified xsi:type="dcterms:W3CDTF">2026-04-05T19:28:48Z</dcterms:modified>
  <cp:lastModifiedBy>최희진</cp:lastModifiedBy>
  <cp:lastPrinted>2025-08-04T21:55:09Z</cp:lastPrinted>
</cp:coreProperties>
</file>